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GIS\git\AFOLU_GHG_flux_model\src\LULUCF\"/>
    </mc:Choice>
  </mc:AlternateContent>
  <xr:revisionPtr revIDLastSave="0" documentId="13_ncr:1_{C3DFFE65-616A-4846-ABD9-E337330F753F}" xr6:coauthVersionLast="47" xr6:coauthVersionMax="47" xr10:uidLastSave="{00000000-0000-0000-0000-000000000000}"/>
  <bookViews>
    <workbookView xWindow="-120" yWindow="-16515" windowWidth="29040" windowHeight="15720" firstSheet="2" activeTab="6" xr2:uid="{00000000-000D-0000-FFFF-FFFF00000000}"/>
  </bookViews>
  <sheets>
    <sheet name="v030_20250430" sheetId="1" r:id="rId1"/>
    <sheet name="v040_20250713" sheetId="3" r:id="rId2"/>
    <sheet name="v042_20250805" sheetId="2" r:id="rId3"/>
    <sheet name="v102_20251027" sheetId="4" r:id="rId4"/>
    <sheet name="v105_20260518" sheetId="5" r:id="rId5"/>
    <sheet name="v105_20260601" sheetId="6" r:id="rId6"/>
    <sheet name="v106_20261006" sheetId="7" r:id="rId7"/>
  </sheets>
  <definedNames>
    <definedName name="_xlnm._FilterDatabase" localSheetId="1" hidden="1">v040_20250713!$A$1:$F$1</definedName>
    <definedName name="_xlnm._FilterDatabase" localSheetId="2" hidden="1">v042_20250805!$A$1:$F$1</definedName>
    <definedName name="_xlnm._FilterDatabase" localSheetId="3" hidden="1">v102_20251027!$A$1:$G$1</definedName>
    <definedName name="_xlnm._FilterDatabase" localSheetId="4" hidden="1">v105_20260518!$A$1:$G$96</definedName>
    <definedName name="_xlnm._FilterDatabase" localSheetId="5" hidden="1">v105_20260601!$A$1:$H$96</definedName>
    <definedName name="_xlnm._FilterDatabase" localSheetId="6" hidden="1">v106_20261006!$A$1:$H$95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7" l="1"/>
  <c r="C61" i="7"/>
  <c r="B62" i="7"/>
  <c r="B63" i="7"/>
  <c r="C63" i="7" s="1"/>
  <c r="B64" i="7"/>
  <c r="C64" i="7" s="1"/>
  <c r="B65" i="7"/>
  <c r="B66" i="7"/>
  <c r="C66" i="7" s="1"/>
  <c r="I61" i="7"/>
  <c r="I63" i="7"/>
  <c r="I64" i="7"/>
  <c r="I66" i="7"/>
  <c r="B57" i="7"/>
  <c r="B22" i="7"/>
  <c r="B23" i="7"/>
  <c r="B24" i="7"/>
  <c r="I24" i="7" s="1"/>
  <c r="C24" i="7"/>
  <c r="B96" i="7"/>
  <c r="B92" i="7"/>
  <c r="B88" i="7"/>
  <c r="B95" i="7"/>
  <c r="B94" i="7"/>
  <c r="B93" i="7"/>
  <c r="B91" i="7"/>
  <c r="B90" i="7"/>
  <c r="B89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0" i="7"/>
  <c r="B59" i="7"/>
  <c r="B58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96" i="6"/>
  <c r="C96" i="6" s="1"/>
  <c r="B95" i="6"/>
  <c r="C95" i="6" s="1"/>
  <c r="B94" i="6"/>
  <c r="C94" i="6" s="1"/>
  <c r="B93" i="6"/>
  <c r="C93" i="6" s="1"/>
  <c r="B92" i="6"/>
  <c r="C92" i="6" s="1"/>
  <c r="B91" i="6"/>
  <c r="C91" i="6" s="1"/>
  <c r="B90" i="6"/>
  <c r="C90" i="6" s="1"/>
  <c r="B89" i="6"/>
  <c r="C89" i="6" s="1"/>
  <c r="B88" i="6"/>
  <c r="C88" i="6" s="1"/>
  <c r="B87" i="6"/>
  <c r="C87" i="6" s="1"/>
  <c r="B86" i="6"/>
  <c r="C86" i="6" s="1"/>
  <c r="B85" i="6"/>
  <c r="C85" i="6" s="1"/>
  <c r="B84" i="6"/>
  <c r="C84" i="6" s="1"/>
  <c r="B83" i="6"/>
  <c r="C83" i="6" s="1"/>
  <c r="B82" i="6"/>
  <c r="C82" i="6" s="1"/>
  <c r="B81" i="6"/>
  <c r="C81" i="6" s="1"/>
  <c r="B80" i="6"/>
  <c r="C80" i="6" s="1"/>
  <c r="B79" i="6"/>
  <c r="C79" i="6" s="1"/>
  <c r="B78" i="6"/>
  <c r="C78" i="6" s="1"/>
  <c r="B77" i="6"/>
  <c r="C77" i="6" s="1"/>
  <c r="B76" i="6"/>
  <c r="C76" i="6" s="1"/>
  <c r="B75" i="6"/>
  <c r="C75" i="6" s="1"/>
  <c r="B74" i="6"/>
  <c r="C74" i="6" s="1"/>
  <c r="B73" i="6"/>
  <c r="C73" i="6" s="1"/>
  <c r="B72" i="6"/>
  <c r="C72" i="6" s="1"/>
  <c r="B71" i="6"/>
  <c r="C71" i="6" s="1"/>
  <c r="B70" i="6"/>
  <c r="C70" i="6" s="1"/>
  <c r="B69" i="6"/>
  <c r="C69" i="6" s="1"/>
  <c r="B68" i="6"/>
  <c r="C68" i="6" s="1"/>
  <c r="B67" i="6"/>
  <c r="C67" i="6" s="1"/>
  <c r="B66" i="6"/>
  <c r="C66" i="6" s="1"/>
  <c r="B65" i="6"/>
  <c r="C65" i="6" s="1"/>
  <c r="B64" i="6"/>
  <c r="C64" i="6" s="1"/>
  <c r="B63" i="6"/>
  <c r="C63" i="6" s="1"/>
  <c r="B62" i="6"/>
  <c r="C62" i="6" s="1"/>
  <c r="B61" i="6"/>
  <c r="C61" i="6" s="1"/>
  <c r="B60" i="6"/>
  <c r="C60" i="6" s="1"/>
  <c r="B59" i="6"/>
  <c r="C59" i="6" s="1"/>
  <c r="B58" i="6"/>
  <c r="C58" i="6" s="1"/>
  <c r="B57" i="6"/>
  <c r="C57" i="6" s="1"/>
  <c r="B56" i="6"/>
  <c r="C56" i="6" s="1"/>
  <c r="B55" i="6"/>
  <c r="C55" i="6" s="1"/>
  <c r="B54" i="6"/>
  <c r="C54" i="6" s="1"/>
  <c r="B53" i="6"/>
  <c r="C53" i="6" s="1"/>
  <c r="B52" i="6"/>
  <c r="C52" i="6" s="1"/>
  <c r="B51" i="6"/>
  <c r="C51" i="6" s="1"/>
  <c r="B50" i="6"/>
  <c r="C50" i="6" s="1"/>
  <c r="B49" i="6"/>
  <c r="C49" i="6" s="1"/>
  <c r="B48" i="6"/>
  <c r="C48" i="6" s="1"/>
  <c r="B47" i="6"/>
  <c r="C47" i="6" s="1"/>
  <c r="B46" i="6"/>
  <c r="C46" i="6" s="1"/>
  <c r="B45" i="6"/>
  <c r="C45" i="6" s="1"/>
  <c r="B44" i="6"/>
  <c r="C44" i="6" s="1"/>
  <c r="B43" i="6"/>
  <c r="C43" i="6" s="1"/>
  <c r="B42" i="6"/>
  <c r="C42" i="6" s="1"/>
  <c r="B41" i="6"/>
  <c r="C41" i="6" s="1"/>
  <c r="B40" i="6"/>
  <c r="C40" i="6" s="1"/>
  <c r="B39" i="6"/>
  <c r="C39" i="6" s="1"/>
  <c r="B38" i="6"/>
  <c r="C38" i="6" s="1"/>
  <c r="B37" i="6"/>
  <c r="C37" i="6" s="1"/>
  <c r="B36" i="6"/>
  <c r="C36" i="6" s="1"/>
  <c r="B35" i="6"/>
  <c r="C35" i="6" s="1"/>
  <c r="B34" i="6"/>
  <c r="C34" i="6" s="1"/>
  <c r="B33" i="6"/>
  <c r="C33" i="6" s="1"/>
  <c r="B32" i="6"/>
  <c r="C32" i="6" s="1"/>
  <c r="B31" i="6"/>
  <c r="C31" i="6" s="1"/>
  <c r="B30" i="6"/>
  <c r="C30" i="6" s="1"/>
  <c r="B29" i="6"/>
  <c r="C29" i="6" s="1"/>
  <c r="B28" i="6"/>
  <c r="C28" i="6" s="1"/>
  <c r="B27" i="6"/>
  <c r="C27" i="6" s="1"/>
  <c r="B26" i="6"/>
  <c r="C26" i="6" s="1"/>
  <c r="B25" i="6"/>
  <c r="C25" i="6" s="1"/>
  <c r="B24" i="6"/>
  <c r="C24" i="6" s="1"/>
  <c r="B23" i="6"/>
  <c r="C23" i="6" s="1"/>
  <c r="B22" i="6"/>
  <c r="C22" i="6" s="1"/>
  <c r="B21" i="6"/>
  <c r="C21" i="6" s="1"/>
  <c r="B20" i="6"/>
  <c r="C20" i="6" s="1"/>
  <c r="B19" i="6"/>
  <c r="C19" i="6" s="1"/>
  <c r="B18" i="6"/>
  <c r="C18" i="6" s="1"/>
  <c r="B17" i="6"/>
  <c r="C17" i="6" s="1"/>
  <c r="B16" i="6"/>
  <c r="C16" i="6" s="1"/>
  <c r="B15" i="6"/>
  <c r="C15" i="6" s="1"/>
  <c r="B14" i="6"/>
  <c r="C14" i="6" s="1"/>
  <c r="B13" i="6"/>
  <c r="C13" i="6" s="1"/>
  <c r="B12" i="6"/>
  <c r="C12" i="6" s="1"/>
  <c r="B11" i="6"/>
  <c r="C11" i="6" s="1"/>
  <c r="B10" i="6"/>
  <c r="C10" i="6" s="1"/>
  <c r="B9" i="6"/>
  <c r="C9" i="6" s="1"/>
  <c r="B8" i="6"/>
  <c r="C8" i="6" s="1"/>
  <c r="B7" i="6"/>
  <c r="C7" i="6" s="1"/>
  <c r="B6" i="6"/>
  <c r="C6" i="6" s="1"/>
  <c r="B5" i="6"/>
  <c r="C5" i="6" s="1"/>
  <c r="B4" i="6"/>
  <c r="C4" i="6" s="1"/>
  <c r="B3" i="6"/>
  <c r="C3" i="6" s="1"/>
  <c r="B2" i="6"/>
  <c r="C2" i="6" s="1"/>
  <c r="B96" i="5"/>
  <c r="C96" i="5" s="1"/>
  <c r="B95" i="5"/>
  <c r="C95" i="5" s="1"/>
  <c r="B94" i="5"/>
  <c r="C94" i="5" s="1"/>
  <c r="B93" i="5"/>
  <c r="C93" i="5" s="1"/>
  <c r="B92" i="5"/>
  <c r="C92" i="5" s="1"/>
  <c r="B91" i="5"/>
  <c r="C91" i="5" s="1"/>
  <c r="B90" i="5"/>
  <c r="C90" i="5" s="1"/>
  <c r="B89" i="5"/>
  <c r="C89" i="5" s="1"/>
  <c r="B88" i="5"/>
  <c r="C88" i="5" s="1"/>
  <c r="B87" i="5"/>
  <c r="C87" i="5" s="1"/>
  <c r="B86" i="5"/>
  <c r="C86" i="5" s="1"/>
  <c r="B85" i="5"/>
  <c r="C85" i="5" s="1"/>
  <c r="B84" i="5"/>
  <c r="C84" i="5" s="1"/>
  <c r="B83" i="5"/>
  <c r="C83" i="5" s="1"/>
  <c r="B82" i="5"/>
  <c r="C82" i="5" s="1"/>
  <c r="B81" i="5"/>
  <c r="C81" i="5" s="1"/>
  <c r="B80" i="5"/>
  <c r="C80" i="5" s="1"/>
  <c r="B79" i="5"/>
  <c r="C79" i="5" s="1"/>
  <c r="B78" i="5"/>
  <c r="C78" i="5" s="1"/>
  <c r="B77" i="5"/>
  <c r="C77" i="5" s="1"/>
  <c r="B76" i="5"/>
  <c r="C76" i="5" s="1"/>
  <c r="B75" i="5"/>
  <c r="C75" i="5" s="1"/>
  <c r="B74" i="5"/>
  <c r="C74" i="5" s="1"/>
  <c r="B73" i="5"/>
  <c r="C73" i="5" s="1"/>
  <c r="B72" i="5"/>
  <c r="C72" i="5" s="1"/>
  <c r="B71" i="5"/>
  <c r="C71" i="5" s="1"/>
  <c r="B70" i="5"/>
  <c r="C70" i="5" s="1"/>
  <c r="B69" i="5"/>
  <c r="C69" i="5" s="1"/>
  <c r="B68" i="5"/>
  <c r="C68" i="5" s="1"/>
  <c r="B67" i="5"/>
  <c r="C67" i="5" s="1"/>
  <c r="B66" i="5"/>
  <c r="C66" i="5" s="1"/>
  <c r="B65" i="5"/>
  <c r="C65" i="5" s="1"/>
  <c r="B64" i="5"/>
  <c r="C64" i="5" s="1"/>
  <c r="B63" i="5"/>
  <c r="C63" i="5" s="1"/>
  <c r="B62" i="5"/>
  <c r="C62" i="5" s="1"/>
  <c r="B61" i="5"/>
  <c r="C61" i="5" s="1"/>
  <c r="B60" i="5"/>
  <c r="C60" i="5" s="1"/>
  <c r="B59" i="5"/>
  <c r="C59" i="5" s="1"/>
  <c r="B58" i="5"/>
  <c r="C58" i="5" s="1"/>
  <c r="B57" i="5"/>
  <c r="C57" i="5" s="1"/>
  <c r="B56" i="5"/>
  <c r="C56" i="5" s="1"/>
  <c r="B55" i="5"/>
  <c r="C55" i="5" s="1"/>
  <c r="B54" i="5"/>
  <c r="C54" i="5" s="1"/>
  <c r="B53" i="5"/>
  <c r="C53" i="5" s="1"/>
  <c r="B52" i="5"/>
  <c r="C52" i="5" s="1"/>
  <c r="B51" i="5"/>
  <c r="C51" i="5" s="1"/>
  <c r="B50" i="5"/>
  <c r="C50" i="5" s="1"/>
  <c r="B49" i="5"/>
  <c r="C49" i="5" s="1"/>
  <c r="B48" i="5"/>
  <c r="C48" i="5" s="1"/>
  <c r="B47" i="5"/>
  <c r="C47" i="5" s="1"/>
  <c r="B46" i="5"/>
  <c r="C46" i="5" s="1"/>
  <c r="B45" i="5"/>
  <c r="C45" i="5" s="1"/>
  <c r="B44" i="5"/>
  <c r="C44" i="5" s="1"/>
  <c r="B43" i="5"/>
  <c r="C43" i="5" s="1"/>
  <c r="B42" i="5"/>
  <c r="C42" i="5" s="1"/>
  <c r="B41" i="5"/>
  <c r="C41" i="5" s="1"/>
  <c r="B40" i="5"/>
  <c r="C40" i="5" s="1"/>
  <c r="B39" i="5"/>
  <c r="C39" i="5" s="1"/>
  <c r="B38" i="5"/>
  <c r="C38" i="5" s="1"/>
  <c r="B37" i="5"/>
  <c r="C37" i="5" s="1"/>
  <c r="B36" i="5"/>
  <c r="C36" i="5" s="1"/>
  <c r="B35" i="5"/>
  <c r="C35" i="5" s="1"/>
  <c r="B34" i="5"/>
  <c r="C34" i="5" s="1"/>
  <c r="B33" i="5"/>
  <c r="C33" i="5" s="1"/>
  <c r="B32" i="5"/>
  <c r="C32" i="5" s="1"/>
  <c r="B31" i="5"/>
  <c r="C31" i="5" s="1"/>
  <c r="B30" i="5"/>
  <c r="C30" i="5" s="1"/>
  <c r="B29" i="5"/>
  <c r="C29" i="5" s="1"/>
  <c r="B28" i="5"/>
  <c r="C28" i="5" s="1"/>
  <c r="B27" i="5"/>
  <c r="C27" i="5" s="1"/>
  <c r="B26" i="5"/>
  <c r="C26" i="5" s="1"/>
  <c r="B25" i="5"/>
  <c r="C25" i="5" s="1"/>
  <c r="B24" i="5"/>
  <c r="C24" i="5" s="1"/>
  <c r="B23" i="5"/>
  <c r="C23" i="5" s="1"/>
  <c r="B22" i="5"/>
  <c r="C22" i="5" s="1"/>
  <c r="B21" i="5"/>
  <c r="C21" i="5" s="1"/>
  <c r="B20" i="5"/>
  <c r="C20" i="5" s="1"/>
  <c r="B19" i="5"/>
  <c r="C19" i="5" s="1"/>
  <c r="B18" i="5"/>
  <c r="C18" i="5" s="1"/>
  <c r="B17" i="5"/>
  <c r="C17" i="5" s="1"/>
  <c r="B16" i="5"/>
  <c r="C16" i="5" s="1"/>
  <c r="B15" i="5"/>
  <c r="C15" i="5" s="1"/>
  <c r="B14" i="5"/>
  <c r="C14" i="5" s="1"/>
  <c r="B13" i="5"/>
  <c r="C13" i="5" s="1"/>
  <c r="B12" i="5"/>
  <c r="C12" i="5" s="1"/>
  <c r="B11" i="5"/>
  <c r="C11" i="5" s="1"/>
  <c r="B10" i="5"/>
  <c r="C10" i="5" s="1"/>
  <c r="B9" i="5"/>
  <c r="C9" i="5" s="1"/>
  <c r="B8" i="5"/>
  <c r="C8" i="5" s="1"/>
  <c r="B7" i="5"/>
  <c r="C7" i="5" s="1"/>
  <c r="B6" i="5"/>
  <c r="C6" i="5" s="1"/>
  <c r="B5" i="5"/>
  <c r="C5" i="5" s="1"/>
  <c r="B4" i="5"/>
  <c r="C4" i="5" s="1"/>
  <c r="B3" i="5"/>
  <c r="C3" i="5" s="1"/>
  <c r="B2" i="5"/>
  <c r="C2" i="5" s="1"/>
  <c r="B2" i="4"/>
  <c r="C2" i="4" s="1"/>
  <c r="B3" i="4"/>
  <c r="C3" i="4" s="1"/>
  <c r="B96" i="4"/>
  <c r="C96" i="4" s="1"/>
  <c r="B95" i="4"/>
  <c r="C95" i="4" s="1"/>
  <c r="B94" i="4"/>
  <c r="C94" i="4" s="1"/>
  <c r="B93" i="4"/>
  <c r="C93" i="4" s="1"/>
  <c r="B92" i="4"/>
  <c r="C92" i="4" s="1"/>
  <c r="B91" i="4"/>
  <c r="C91" i="4" s="1"/>
  <c r="B90" i="4"/>
  <c r="C90" i="4" s="1"/>
  <c r="B89" i="4"/>
  <c r="C89" i="4" s="1"/>
  <c r="B88" i="4"/>
  <c r="C88" i="4" s="1"/>
  <c r="B87" i="4"/>
  <c r="C87" i="4" s="1"/>
  <c r="B86" i="4"/>
  <c r="C86" i="4" s="1"/>
  <c r="B85" i="4"/>
  <c r="C85" i="4" s="1"/>
  <c r="B84" i="4"/>
  <c r="C84" i="4" s="1"/>
  <c r="B83" i="4"/>
  <c r="C83" i="4" s="1"/>
  <c r="B82" i="4"/>
  <c r="C82" i="4" s="1"/>
  <c r="B81" i="4"/>
  <c r="C81" i="4" s="1"/>
  <c r="B80" i="4"/>
  <c r="C80" i="4" s="1"/>
  <c r="B79" i="4"/>
  <c r="C79" i="4" s="1"/>
  <c r="B78" i="4"/>
  <c r="C78" i="4" s="1"/>
  <c r="B77" i="4"/>
  <c r="C77" i="4" s="1"/>
  <c r="B76" i="4"/>
  <c r="C76" i="4" s="1"/>
  <c r="B75" i="4"/>
  <c r="C75" i="4" s="1"/>
  <c r="B74" i="4"/>
  <c r="C74" i="4" s="1"/>
  <c r="B73" i="4"/>
  <c r="C73" i="4" s="1"/>
  <c r="B72" i="4"/>
  <c r="C72" i="4" s="1"/>
  <c r="B71" i="4"/>
  <c r="C71" i="4" s="1"/>
  <c r="B70" i="4"/>
  <c r="C70" i="4" s="1"/>
  <c r="B69" i="4"/>
  <c r="C69" i="4" s="1"/>
  <c r="B68" i="4"/>
  <c r="C68" i="4" s="1"/>
  <c r="B67" i="4"/>
  <c r="C67" i="4" s="1"/>
  <c r="B66" i="4"/>
  <c r="C66" i="4" s="1"/>
  <c r="B65" i="4"/>
  <c r="C65" i="4" s="1"/>
  <c r="B64" i="4"/>
  <c r="C64" i="4" s="1"/>
  <c r="B63" i="4"/>
  <c r="C63" i="4" s="1"/>
  <c r="B62" i="4"/>
  <c r="C62" i="4" s="1"/>
  <c r="B61" i="4"/>
  <c r="C61" i="4" s="1"/>
  <c r="B60" i="4"/>
  <c r="C60" i="4" s="1"/>
  <c r="B59" i="4"/>
  <c r="C59" i="4" s="1"/>
  <c r="B58" i="4"/>
  <c r="C58" i="4" s="1"/>
  <c r="B57" i="4"/>
  <c r="C57" i="4" s="1"/>
  <c r="B56" i="4"/>
  <c r="C56" i="4" s="1"/>
  <c r="B55" i="4"/>
  <c r="C55" i="4" s="1"/>
  <c r="B54" i="4"/>
  <c r="C54" i="4" s="1"/>
  <c r="B53" i="4"/>
  <c r="C53" i="4" s="1"/>
  <c r="B52" i="4"/>
  <c r="C52" i="4" s="1"/>
  <c r="B51" i="4"/>
  <c r="C51" i="4" s="1"/>
  <c r="B50" i="4"/>
  <c r="C50" i="4" s="1"/>
  <c r="B49" i="4"/>
  <c r="C49" i="4" s="1"/>
  <c r="B48" i="4"/>
  <c r="C48" i="4" s="1"/>
  <c r="B47" i="4"/>
  <c r="C47" i="4" s="1"/>
  <c r="B46" i="4"/>
  <c r="C46" i="4" s="1"/>
  <c r="B45" i="4"/>
  <c r="C45" i="4" s="1"/>
  <c r="B44" i="4"/>
  <c r="C44" i="4" s="1"/>
  <c r="B43" i="4"/>
  <c r="C43" i="4" s="1"/>
  <c r="B42" i="4"/>
  <c r="C42" i="4" s="1"/>
  <c r="B41" i="4"/>
  <c r="C41" i="4" s="1"/>
  <c r="B40" i="4"/>
  <c r="C40" i="4" s="1"/>
  <c r="B39" i="4"/>
  <c r="C39" i="4" s="1"/>
  <c r="B38" i="4"/>
  <c r="C38" i="4" s="1"/>
  <c r="B37" i="4"/>
  <c r="C37" i="4" s="1"/>
  <c r="B36" i="4"/>
  <c r="C36" i="4" s="1"/>
  <c r="B35" i="4"/>
  <c r="C35" i="4" s="1"/>
  <c r="B34" i="4"/>
  <c r="C34" i="4" s="1"/>
  <c r="B33" i="4"/>
  <c r="C33" i="4" s="1"/>
  <c r="B32" i="4"/>
  <c r="C32" i="4" s="1"/>
  <c r="B31" i="4"/>
  <c r="C31" i="4" s="1"/>
  <c r="B30" i="4"/>
  <c r="C30" i="4" s="1"/>
  <c r="B29" i="4"/>
  <c r="C29" i="4" s="1"/>
  <c r="B28" i="4"/>
  <c r="C28" i="4" s="1"/>
  <c r="B27" i="4"/>
  <c r="C27" i="4" s="1"/>
  <c r="B26" i="4"/>
  <c r="C26" i="4" s="1"/>
  <c r="B25" i="4"/>
  <c r="C25" i="4" s="1"/>
  <c r="B24" i="4"/>
  <c r="C24" i="4" s="1"/>
  <c r="B23" i="4"/>
  <c r="C23" i="4" s="1"/>
  <c r="B22" i="4"/>
  <c r="C22" i="4" s="1"/>
  <c r="B21" i="4"/>
  <c r="C21" i="4" s="1"/>
  <c r="B20" i="4"/>
  <c r="C20" i="4" s="1"/>
  <c r="B19" i="4"/>
  <c r="C19" i="4" s="1"/>
  <c r="B18" i="4"/>
  <c r="C18" i="4" s="1"/>
  <c r="B17" i="4"/>
  <c r="C17" i="4" s="1"/>
  <c r="B16" i="4"/>
  <c r="C16" i="4" s="1"/>
  <c r="B15" i="4"/>
  <c r="C15" i="4" s="1"/>
  <c r="B14" i="4"/>
  <c r="C14" i="4" s="1"/>
  <c r="B13" i="4"/>
  <c r="C13" i="4" s="1"/>
  <c r="B12" i="4"/>
  <c r="C12" i="4" s="1"/>
  <c r="B11" i="4"/>
  <c r="C11" i="4" s="1"/>
  <c r="B10" i="4"/>
  <c r="C10" i="4" s="1"/>
  <c r="B9" i="4"/>
  <c r="C9" i="4" s="1"/>
  <c r="B8" i="4"/>
  <c r="C8" i="4" s="1"/>
  <c r="B7" i="4"/>
  <c r="C7" i="4" s="1"/>
  <c r="B6" i="4"/>
  <c r="C6" i="4" s="1"/>
  <c r="B5" i="4"/>
  <c r="C5" i="4" s="1"/>
  <c r="B4" i="4"/>
  <c r="C4" i="4" s="1"/>
  <c r="B2" i="3"/>
  <c r="C2" i="3"/>
  <c r="B3" i="3"/>
  <c r="C3" i="3"/>
  <c r="B4" i="3"/>
  <c r="C4" i="3" s="1"/>
  <c r="B5" i="3"/>
  <c r="C5" i="3"/>
  <c r="B6" i="3"/>
  <c r="C6" i="3"/>
  <c r="B7" i="3"/>
  <c r="C7" i="3" s="1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 s="1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 s="1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C62" i="7" l="1"/>
  <c r="I62" i="7"/>
  <c r="C65" i="7"/>
  <c r="I65" i="7"/>
  <c r="C22" i="7"/>
  <c r="I22" i="7"/>
  <c r="C23" i="7"/>
  <c r="I23" i="7"/>
  <c r="C96" i="7"/>
  <c r="I96" i="7"/>
  <c r="I92" i="7"/>
  <c r="C92" i="7"/>
  <c r="C88" i="7"/>
  <c r="I88" i="7"/>
  <c r="C95" i="7"/>
  <c r="I95" i="7"/>
  <c r="C94" i="7"/>
  <c r="I94" i="7"/>
  <c r="C93" i="7"/>
  <c r="I93" i="7"/>
  <c r="C87" i="7"/>
  <c r="I87" i="7"/>
  <c r="C86" i="7"/>
  <c r="I86" i="7"/>
  <c r="C85" i="7"/>
  <c r="I85" i="7"/>
  <c r="C84" i="7"/>
  <c r="I84" i="7"/>
  <c r="C83" i="7"/>
  <c r="I83" i="7"/>
  <c r="C82" i="7"/>
  <c r="I82" i="7"/>
  <c r="C81" i="7"/>
  <c r="I81" i="7"/>
  <c r="C80" i="7"/>
  <c r="I80" i="7"/>
  <c r="C79" i="7"/>
  <c r="I79" i="7"/>
  <c r="C78" i="7"/>
  <c r="I78" i="7"/>
  <c r="C77" i="7"/>
  <c r="I77" i="7"/>
  <c r="C76" i="7"/>
  <c r="I76" i="7"/>
  <c r="C75" i="7"/>
  <c r="I75" i="7"/>
  <c r="C74" i="7"/>
  <c r="I74" i="7"/>
  <c r="C73" i="7"/>
  <c r="I73" i="7"/>
  <c r="C72" i="7"/>
  <c r="I72" i="7"/>
  <c r="C71" i="7"/>
  <c r="I71" i="7"/>
  <c r="C70" i="7"/>
  <c r="I70" i="7"/>
  <c r="C69" i="7"/>
  <c r="I69" i="7"/>
  <c r="C68" i="7"/>
  <c r="I68" i="7"/>
  <c r="C67" i="7"/>
  <c r="I67" i="7"/>
  <c r="C60" i="7"/>
  <c r="I60" i="7"/>
  <c r="C59" i="7"/>
  <c r="I59" i="7"/>
  <c r="C58" i="7"/>
  <c r="I58" i="7"/>
  <c r="C57" i="7"/>
  <c r="I57" i="7"/>
  <c r="C56" i="7"/>
  <c r="I56" i="7"/>
  <c r="C55" i="7"/>
  <c r="I55" i="7"/>
  <c r="C54" i="7"/>
  <c r="I54" i="7"/>
  <c r="C53" i="7"/>
  <c r="I53" i="7"/>
  <c r="C52" i="7"/>
  <c r="I52" i="7"/>
  <c r="C51" i="7"/>
  <c r="I51" i="7"/>
  <c r="C50" i="7"/>
  <c r="I50" i="7"/>
  <c r="C49" i="7"/>
  <c r="I49" i="7"/>
  <c r="C48" i="7"/>
  <c r="I48" i="7"/>
  <c r="C47" i="7"/>
  <c r="I47" i="7"/>
  <c r="C46" i="7"/>
  <c r="I46" i="7"/>
  <c r="C45" i="7"/>
  <c r="I45" i="7"/>
  <c r="C44" i="7"/>
  <c r="I44" i="7"/>
  <c r="C43" i="7"/>
  <c r="I43" i="7"/>
  <c r="C42" i="7"/>
  <c r="I42" i="7"/>
  <c r="C41" i="7"/>
  <c r="I41" i="7"/>
  <c r="C40" i="7"/>
  <c r="I40" i="7"/>
  <c r="C39" i="7"/>
  <c r="I39" i="7"/>
  <c r="C38" i="7"/>
  <c r="I38" i="7"/>
  <c r="C37" i="7"/>
  <c r="I37" i="7"/>
  <c r="C36" i="7"/>
  <c r="I36" i="7"/>
  <c r="C35" i="7"/>
  <c r="I35" i="7"/>
  <c r="C34" i="7"/>
  <c r="I34" i="7"/>
  <c r="C33" i="7"/>
  <c r="I33" i="7"/>
  <c r="C32" i="7"/>
  <c r="I32" i="7"/>
  <c r="C31" i="7"/>
  <c r="I31" i="7"/>
  <c r="C30" i="7"/>
  <c r="I30" i="7"/>
  <c r="C29" i="7"/>
  <c r="I29" i="7"/>
  <c r="C28" i="7"/>
  <c r="I28" i="7"/>
  <c r="C27" i="7"/>
  <c r="I27" i="7"/>
  <c r="C26" i="7"/>
  <c r="I26" i="7"/>
  <c r="C25" i="7"/>
  <c r="I25" i="7"/>
  <c r="C21" i="7"/>
  <c r="I21" i="7"/>
  <c r="C20" i="7"/>
  <c r="I20" i="7"/>
  <c r="C19" i="7"/>
  <c r="I19" i="7"/>
  <c r="C18" i="7"/>
  <c r="I18" i="7"/>
  <c r="C17" i="7"/>
  <c r="I17" i="7"/>
  <c r="C16" i="7"/>
  <c r="I16" i="7"/>
  <c r="C15" i="7"/>
  <c r="I15" i="7"/>
  <c r="C14" i="7"/>
  <c r="I14" i="7"/>
  <c r="C13" i="7"/>
  <c r="I13" i="7"/>
  <c r="C12" i="7"/>
  <c r="I12" i="7"/>
  <c r="C11" i="7"/>
  <c r="I11" i="7"/>
  <c r="C10" i="7"/>
  <c r="I10" i="7"/>
  <c r="C9" i="7"/>
  <c r="I9" i="7"/>
  <c r="C8" i="7"/>
  <c r="I8" i="7"/>
  <c r="C7" i="7"/>
  <c r="I7" i="7"/>
  <c r="C6" i="7"/>
  <c r="I6" i="7"/>
  <c r="C5" i="7"/>
  <c r="I5" i="7"/>
  <c r="C4" i="7"/>
  <c r="I4" i="7"/>
  <c r="C3" i="7"/>
  <c r="I3" i="7"/>
  <c r="C2" i="7"/>
  <c r="I2" i="7"/>
  <c r="C91" i="7"/>
  <c r="I91" i="7"/>
  <c r="C90" i="7"/>
  <c r="I90" i="7"/>
  <c r="C89" i="7"/>
  <c r="I89" i="7"/>
  <c r="B82" i="2"/>
  <c r="C82" i="2"/>
  <c r="B78" i="2"/>
  <c r="C78" i="2" s="1"/>
  <c r="B79" i="2"/>
  <c r="C79" i="2" s="1"/>
  <c r="B80" i="2"/>
  <c r="C80" i="2" s="1"/>
  <c r="B81" i="2"/>
  <c r="C81" i="2" s="1"/>
  <c r="B72" i="2"/>
  <c r="C72" i="2"/>
  <c r="B3" i="2"/>
  <c r="C3" i="2" s="1"/>
  <c r="B4" i="2"/>
  <c r="C4" i="2" s="1"/>
  <c r="B5" i="2"/>
  <c r="C5" i="2" s="1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/>
  <c r="B61" i="2"/>
  <c r="C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3" i="2"/>
  <c r="C73" i="2" s="1"/>
  <c r="B74" i="2"/>
  <c r="C74" i="2" s="1"/>
  <c r="B75" i="2"/>
  <c r="C75" i="2" s="1"/>
  <c r="B76" i="2"/>
  <c r="C76" i="2" s="1"/>
  <c r="B77" i="2"/>
  <c r="C77" i="2" s="1"/>
  <c r="B2" i="2"/>
  <c r="C2" i="2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2" i="1"/>
</calcChain>
</file>

<file path=xl/sharedStrings.xml><?xml version="1.0" encoding="utf-8"?>
<sst xmlns="http://schemas.openxmlformats.org/spreadsheetml/2006/main" count="2317" uniqueCount="274">
  <si>
    <t>meaning</t>
  </si>
  <si>
    <t>New oil palm (incl. SDPT)</t>
  </si>
  <si>
    <t>New non-oil palm planted trees</t>
  </si>
  <si>
    <t>New terrestrial natural forest</t>
  </si>
  <si>
    <t>New trees outside forests</t>
  </si>
  <si>
    <t>No assignment</t>
  </si>
  <si>
    <t>Full loss of oil palm (incl. SDPT), with fire</t>
  </si>
  <si>
    <t>Full loss of oil palm (incl. SDPT), without fire</t>
  </si>
  <si>
    <t>Plantation harvested as cropland, with fire</t>
  </si>
  <si>
    <t>Plantation harvested as cropland, without fire</t>
  </si>
  <si>
    <t>Plantation harvested as short vegetation, with fire</t>
  </si>
  <si>
    <t>Plantation harvested as short vegetation, without fire</t>
  </si>
  <si>
    <t>Plantation harvested as medium vegetation, with fire</t>
  </si>
  <si>
    <t>Plantation harvested as medium vegetation, without fire</t>
  </si>
  <si>
    <t>Plantation converted to settlement, with fire</t>
  </si>
  <si>
    <t>Plantation converted to settlement, without fire</t>
  </si>
  <si>
    <t>Plantation converted to anything else, with fire</t>
  </si>
  <si>
    <t>Plantation converted to anything else, without fire</t>
  </si>
  <si>
    <t>Natural forest converted to cropland, with fire</t>
  </si>
  <si>
    <t>Natural forest converted to cropland, without fire</t>
  </si>
  <si>
    <t>Natural forest converted to short vegetation with disturbance that emits all non-soil C pools, with fire</t>
  </si>
  <si>
    <t>Natural forest converted to short vegetation with disturbance that emits all non-soil C pools, without fire</t>
  </si>
  <si>
    <t>Natural forest converted to short vegetation with disturbance that emits biomass C pools only, with fire</t>
  </si>
  <si>
    <t>Natural forest converted to short vegetation with disturbance that emits biomass C pools only, without fire</t>
  </si>
  <si>
    <t>Natural forest converted to medium vegetation with disturbance that emits all non-soil C pools, with fire</t>
  </si>
  <si>
    <t>Natural forest converted to medium vegetation with disturbance that emits all non-soil C pools, without fire</t>
  </si>
  <si>
    <t>Natural forest converted to medium vegetation with disturbance that emits biomass C pools only, with fire</t>
  </si>
  <si>
    <t>Natural forest converted to medium vegetation with disturbance that emits biomass C pools only, without fire</t>
  </si>
  <si>
    <t>Natural forest converted to settlement, with fire</t>
  </si>
  <si>
    <t>Natural forest converted to settlement, without fire</t>
  </si>
  <si>
    <t>Natural forest converted to anything else (wetland/open water/ice, etc.), with fire</t>
  </si>
  <si>
    <t>Natural forest converted to anything else (wetland/open water/ice, etc.), without fire</t>
  </si>
  <si>
    <t>Full loss of trees outside forests converted to cropland, with fire</t>
  </si>
  <si>
    <t>Full loss of trees outside forests converted to cropland, without fire</t>
  </si>
  <si>
    <t>Full loss of trees outside forests converted to medium-height vegetation, with fire</t>
  </si>
  <si>
    <t>Full loss of trees outside forests converted to medium-height vegetation, without fire</t>
  </si>
  <si>
    <t>Full loss of trees outside forests converted to anything else, with fire</t>
  </si>
  <si>
    <t>Full loss of trees outside forests converted to anything else, without fire</t>
  </si>
  <si>
    <t>Non-planted trees with oil palm planted in the next interval, with fire</t>
  </si>
  <si>
    <t>Non-planted trees with oil palm planted in the next interval, without fire</t>
  </si>
  <si>
    <t>Oil palm partially disturbed in the last interval with signif. height increase after, with fire</t>
  </si>
  <si>
    <t>Oil palm partially disturbed in the last interval with signif. height increase after, without fire</t>
  </si>
  <si>
    <t>Planted trees partially disturbed in the last interval with signif. height increase after, with fire</t>
  </si>
  <si>
    <t>Planted trees partially disturbed in the last interval with signif. height increase after, without fire</t>
  </si>
  <si>
    <t>Oil palm partially disturbed in the last interval without signif. height increase after, with fire</t>
  </si>
  <si>
    <t>Oil palm partially disturbed in the last interval without signif. height increase after, without fire</t>
  </si>
  <si>
    <t>Planted trees partially disturbed in the last interval without signif. height increase after, with fire</t>
  </si>
  <si>
    <t>Planted trees partially disturbed in the last interval without signif. height increase after, without fire</t>
  </si>
  <si>
    <t>Forest partially disturbed in the last interval with signif. height increase after, with fire</t>
  </si>
  <si>
    <t>Forest partially disturbed in the last interval with signif. height increase after, without fire</t>
  </si>
  <si>
    <t>Forest partially disturbed in the last interval without signif. height increase after, with fire</t>
  </si>
  <si>
    <t>Forest partially disturbed in the last interval without signif. height increase after, without fire</t>
  </si>
  <si>
    <t>Trees outside forests partially disturbed in the last interval with signif. height increase after, with fire</t>
  </si>
  <si>
    <t>Trees outside forests partially disturbed in the last interval with signif. height increase after, without fire</t>
  </si>
  <si>
    <t>Trees outside forests partially disturbed in the last interval without signif. height increase after, with fire</t>
  </si>
  <si>
    <t>Trees outside forests partially disturbed in the last interval without signif. height increase after, without fire</t>
  </si>
  <si>
    <t>Oil palm not disturbed in the last interval, with fire</t>
  </si>
  <si>
    <t>Oil palm not disturbed in the last interval, without fire</t>
  </si>
  <si>
    <t>Planted trees not disturbed in the last interval, with fire</t>
  </si>
  <si>
    <t>Planted trees not disturbed in the last interval, without fires</t>
  </si>
  <si>
    <t>&gt;100 year old natural forest not disturbed in last interval, with fire</t>
  </si>
  <si>
    <t>&gt;100 year old natural forest not disturbed in last interval, without fire</t>
  </si>
  <si>
    <t>&lt;100 year old natural forest not disturbed in last interval, with fire</t>
  </si>
  <si>
    <t>&lt;100 year old natural forest not disturbed in last interval, without fire</t>
  </si>
  <si>
    <t>Trees outside forests not disturbed in the last interval, with fire</t>
  </si>
  <si>
    <t>Trees outside forests not disturbed in the last interval, without fire</t>
  </si>
  <si>
    <t>Cropland gain</t>
  </si>
  <si>
    <t>Cropland loss, with fire</t>
  </si>
  <si>
    <t>Cropland loss, without fire</t>
  </si>
  <si>
    <t>Cropland-&gt;cropland, with fire</t>
  </si>
  <si>
    <t>Cropland-&gt;cropland, without fire</t>
  </si>
  <si>
    <t>Short/med vegetation gain</t>
  </si>
  <si>
    <t>Short/medium vegetation loss, with fire</t>
  </si>
  <si>
    <t>Short/medium vegetation loss, without fire</t>
  </si>
  <si>
    <t>Short/medium vegetation-&gt;Short/medium vegetation, with fire</t>
  </si>
  <si>
    <t>Short/medium vegetation-&gt;Short/medium vegetation, without fire</t>
  </si>
  <si>
    <t>state_nodes</t>
  </si>
  <si>
    <t>state_nodes_with_prefix</t>
  </si>
  <si>
    <t>state_nodes_unpadded</t>
  </si>
  <si>
    <t>Gain of oil palm (incl. SDPT oil palm)</t>
  </si>
  <si>
    <t>Gain of non-oil palm planted trees</t>
  </si>
  <si>
    <t>Gain of terrestrial natural forest</t>
  </si>
  <si>
    <t>Gain of trees outside forests</t>
  </si>
  <si>
    <t>Full loss of oil palm (incl. SDPT) with fire</t>
  </si>
  <si>
    <t>Full loss of oil palm (incl. SDPT) without fire</t>
  </si>
  <si>
    <t>Full loss of non-oil palm tree crops as cropland with fire</t>
  </si>
  <si>
    <t>Full loss of non-oil palm tree crops as cropland without fire</t>
  </si>
  <si>
    <t>Full loss of non-oil palm planted forest as cropland with fire</t>
  </si>
  <si>
    <t>Full loss of non-oil palm planted forest as cropland without fire</t>
  </si>
  <si>
    <t>Full loss of non-oil palm tree crops as short vegetation with fire</t>
  </si>
  <si>
    <t>Full loss of non-oil palm tree crops as short vegetation without fire</t>
  </si>
  <si>
    <t>Full loss of non-oil palm planted forest as short vegetation with fire</t>
  </si>
  <si>
    <t>Full loss of non-oil palm planted forest as short vegetation without fire</t>
  </si>
  <si>
    <t>Full loss of non-oil palm tree crops to settlement with fire</t>
  </si>
  <si>
    <t>Full loss of non-oil palm tree crops to settlement without fire</t>
  </si>
  <si>
    <t>Full loss of non-oil palm planted forest to settlement with fire</t>
  </si>
  <si>
    <t>Full loss of non-oil palm planted forest to settlement without fire</t>
  </si>
  <si>
    <t>Full loss of non-oil palm tree crops to anything else without fire</t>
  </si>
  <si>
    <t>Full loss of non-oil palm planted forest to anything else without fire</t>
  </si>
  <si>
    <t>Natural forest converted to cropland with fire</t>
  </si>
  <si>
    <t>Natural forest converted to cropland without fire</t>
  </si>
  <si>
    <t>Natural forest converted to short vegetation with disturbance that emits all non-soil C pools with fire</t>
  </si>
  <si>
    <t>Natural forest converted to short vegetation with disturbance that emits all non-soil C pools without fire</t>
  </si>
  <si>
    <t>Natural forest converted to short vegetation with disturbance that emits biomass C pools only with fire</t>
  </si>
  <si>
    <t>Natural forest converted to short vegetation with disturbance that emits biomass C pools only without fire</t>
  </si>
  <si>
    <t>Natural forest converted to settlement with fire</t>
  </si>
  <si>
    <t>Natural forest converted to settlement without fire</t>
  </si>
  <si>
    <t>Natural forest converted to anything else (wetland/open water/ice, etc.) without fire</t>
  </si>
  <si>
    <t>Full loss of trees outside forests converted to cropland with fire</t>
  </si>
  <si>
    <t>Full loss of trees outside forests converted to cropland without fire</t>
  </si>
  <si>
    <t>Full loss of trees outside forests converted to short vegetation with fire</t>
  </si>
  <si>
    <t>Full loss of trees outside forests converted to short vegetation without fire</t>
  </si>
  <si>
    <t>Full loss of trees outside forests converted to settlement with fire</t>
  </si>
  <si>
    <t>Full loss of trees outside forests converted to settlement without fire</t>
  </si>
  <si>
    <t>Full loss of trees outside forests converted to anything else without fire</t>
  </si>
  <si>
    <t>Non-planted trees with oil palm planted in the next interval with fire</t>
  </si>
  <si>
    <t>Non-planted trees with oil palm planted in the next interval without fire</t>
  </si>
  <si>
    <t>Oil palm partially disturbed in the current interval with signif. height increase after with fire</t>
  </si>
  <si>
    <t>Oil palm partially disturbed in the current interval with signif. height increase after without fire</t>
  </si>
  <si>
    <t>Planted trees partially disturbed in the current interval with signif. height increase after with fire</t>
  </si>
  <si>
    <t>Planted trees partially disturbed in the current interval with signif. height increase after without fire</t>
  </si>
  <si>
    <t>Oil palm partially disturbed in the current interval without signif. height increase after with fire</t>
  </si>
  <si>
    <t>Oil palm partially disturbed in the current interval without signif. height increase after without fire</t>
  </si>
  <si>
    <t>Planted trees partially disturbed in the current interval without signif. height increase after with fire</t>
  </si>
  <si>
    <t>Planted trees partially disturbed in the current interval without signif. height increase after without fire</t>
  </si>
  <si>
    <t>Forest partially disturbed in the current interval with signif. height increase after with fire</t>
  </si>
  <si>
    <t>Forest partially disturbed in the current interval with signif. height increase after without fire</t>
  </si>
  <si>
    <t>Forest partially disturbed in the current interval without signif. height increase after with fire</t>
  </si>
  <si>
    <t>Forest partially disturbed in the current interval without signif. height increase after without fire</t>
  </si>
  <si>
    <t>Trees outside forests partially disturbed in the current interval with signif. height increase after with fire</t>
  </si>
  <si>
    <t>Trees outside forests partially disturbed in the current interval with signif. height increase after without fire</t>
  </si>
  <si>
    <t>Trees outside forests partially disturbed in the current interval without signif. height increase after with fire</t>
  </si>
  <si>
    <t>Trees outside forests partially disturbed in the current interval without signif. height increase after without fire</t>
  </si>
  <si>
    <t>Oil palm not disturbed in the current interval with fire</t>
  </si>
  <si>
    <t>Oil palm not disturbed in the current interval without fire</t>
  </si>
  <si>
    <t>Planted trees not disturbed in the current interval with fire</t>
  </si>
  <si>
    <t>Planted trees not disturbed in the current interval without fire</t>
  </si>
  <si>
    <t>Young secondary natural forest with fire</t>
  </si>
  <si>
    <t>Young secondary natural forest without fire</t>
  </si>
  <si>
    <t>Primary forest undisturbed since model start with fire</t>
  </si>
  <si>
    <t>Primary forest undisturbed since model start without fire</t>
  </si>
  <si>
    <t>Old secondary forest undisturbed since model start with fire</t>
  </si>
  <si>
    <t>Old secondary forest undisturbed since model start without fire</t>
  </si>
  <si>
    <t>Trees outside forests not disturbed in the current interval with fire</t>
  </si>
  <si>
    <t>Trees outside forests not disturbed in the current interval without fire</t>
  </si>
  <si>
    <t>Annual cropland converted to short vegetation with fire</t>
  </si>
  <si>
    <t>Annual cropland converted to short vegetation without fire</t>
  </si>
  <si>
    <t>Annual cropland converted to water</t>
  </si>
  <si>
    <t>Annual cropland converted to anything else with fire</t>
  </si>
  <si>
    <t>Annual cropland converted to anything else without fire</t>
  </si>
  <si>
    <t>Cropland remaining cropland with fire</t>
  </si>
  <si>
    <t>Cropland remaining cropland without fire</t>
  </si>
  <si>
    <t>Short vegetation gain</t>
  </si>
  <si>
    <t>Short vegetation loss converted to water</t>
  </si>
  <si>
    <t>Short vegetation loss converted to non-water with fire</t>
  </si>
  <si>
    <t>Short vegetation loss converted to non-water without fire</t>
  </si>
  <si>
    <t>Short vegetation remaining short vegetation with fire</t>
  </si>
  <si>
    <t>Short vegetation remaining short vegetation without fire</t>
  </si>
  <si>
    <t>broad_class</t>
  </si>
  <si>
    <t>detailed_class</t>
  </si>
  <si>
    <t>tree_gain</t>
  </si>
  <si>
    <t>tree_loss</t>
  </si>
  <si>
    <t>crop_gain</t>
  </si>
  <si>
    <t>crop_loss</t>
  </si>
  <si>
    <t>tree_tree_undisturbed</t>
  </si>
  <si>
    <t>tree_tree_disturbed</t>
  </si>
  <si>
    <t>crop_crop_undisturbed</t>
  </si>
  <si>
    <t>short_veg_gain</t>
  </si>
  <si>
    <t>short_veg_loss</t>
  </si>
  <si>
    <t>short_veg_short_veg_undisturbed</t>
  </si>
  <si>
    <t>tree</t>
  </si>
  <si>
    <t>crop</t>
  </si>
  <si>
    <t>short_veg</t>
  </si>
  <si>
    <t>Not in decision tree</t>
  </si>
  <si>
    <t>no_flux</t>
  </si>
  <si>
    <t>Permanent loss of mangroves to water</t>
  </si>
  <si>
    <t>Permanent loss of mangroves to cropland</t>
  </si>
  <si>
    <t>Permanent loss of mangroves to settlement</t>
  </si>
  <si>
    <t>Permanent loss of mangroves to short vegetation</t>
  </si>
  <si>
    <t>Permanent loss of mangroves to tall vegetation</t>
  </si>
  <si>
    <t>Permanent loss of mangroves to anything else</t>
  </si>
  <si>
    <t>Temporary loss of mangroves</t>
  </si>
  <si>
    <t>Mangrove remaining mangrove + temp loss in interval</t>
  </si>
  <si>
    <t>Mangrove remaining mangrove, no loss in interval</t>
  </si>
  <si>
    <t>Before mangrove gain (mangrove mask)</t>
  </si>
  <si>
    <t>Non-mangrove remaining non-mangrove (mangrove mask)</t>
  </si>
  <si>
    <t>After permanent mangrove loss (mangrove mask)</t>
  </si>
  <si>
    <t>mangrove_other</t>
  </si>
  <si>
    <t>Gain of mangroves + temp loss in interval</t>
  </si>
  <si>
    <t>Gain of mangroves, no loss in interval</t>
  </si>
  <si>
    <t>land_state_meaning</t>
  </si>
  <si>
    <t>land_state_broad_class</t>
  </si>
  <si>
    <t>land_state_detailed_class</t>
  </si>
  <si>
    <t>land_state_unpadded</t>
  </si>
  <si>
    <t>land_state</t>
  </si>
  <si>
    <t>tall_veg_type</t>
  </si>
  <si>
    <t>mangrove</t>
  </si>
  <si>
    <t>oil_palm</t>
  </si>
  <si>
    <t>non_oil_palm_planted_trees</t>
  </si>
  <si>
    <t>natural_tree_cover</t>
  </si>
  <si>
    <t>trees_in_other_land_covers</t>
  </si>
  <si>
    <t>non_tall_vegetation</t>
  </si>
  <si>
    <t>tree_tree_disturbed_fire_only</t>
  </si>
  <si>
    <t>tree_tree_disturbed_height_loss</t>
  </si>
  <si>
    <t>tree_focused_2x2</t>
  </si>
  <si>
    <t>trees_remaining_trees</t>
  </si>
  <si>
    <t>non_trees_remaining_non_trees</t>
  </si>
  <si>
    <t>Short vegetation gain with GPW height confirmation</t>
  </si>
  <si>
    <t>Short vegetation gain without GPW height confirmation</t>
  </si>
  <si>
    <t>fire</t>
  </si>
  <si>
    <t>Short vegetation converted to water with GPW height confirmation</t>
  </si>
  <si>
    <t>Short vegetation converted to non-water with fire with GPW height confirmation</t>
  </si>
  <si>
    <t>Short vegetation converted to non-water without fire with GPW height confirmation</t>
  </si>
  <si>
    <t>Short vegetation loss without GPW height confirmation</t>
  </si>
  <si>
    <t>Non-vegetated land remaining non-vegetated land</t>
  </si>
  <si>
    <t>Gain of trees in other land covers</t>
  </si>
  <si>
    <t>Full loss of oil palm (incl. SDPT) to annual crops with fire</t>
  </si>
  <si>
    <t>Full loss of oil palm (incl. SDPT) to annual crops without fire</t>
  </si>
  <si>
    <t>Full loss of oil palm (incl. SDPT) to short vegetation with fire</t>
  </si>
  <si>
    <t>Full loss of oil palm (incl. SDPT) to short vegetation without fire</t>
  </si>
  <si>
    <t>Full loss of oil palm (incl. SDPT) to anything else without fire</t>
  </si>
  <si>
    <t>Full loss of non-oil palm tree crops to annual crops with fire</t>
  </si>
  <si>
    <t>Full loss of non-oil palm tree crops to annual crops without fire</t>
  </si>
  <si>
    <t>Full loss of non-oil palm planted forest to annual crops with fire</t>
  </si>
  <si>
    <t>Full loss of non-oil palm planted forest to annual crops without fire</t>
  </si>
  <si>
    <t>Full loss of non-oil palm tree crops to short vegetation with fire</t>
  </si>
  <si>
    <t>Full loss of non-oil palm tree crops to short vegetation without fire</t>
  </si>
  <si>
    <t>Full loss of non-oil palm planted forest to short vegetation with fire</t>
  </si>
  <si>
    <t>Full loss of non-oil palm planted forest to short vegetation without fire</t>
  </si>
  <si>
    <t>Full loss of non-oil palm tree crops to builtup with fire</t>
  </si>
  <si>
    <t>Full loss of non-oil palm tree crops to builtup without fire</t>
  </si>
  <si>
    <t>Full loss of non-oil palm planted forest to builtup with fire</t>
  </si>
  <si>
    <t>Full loss of non-oil palm planted forest to builtup without fire</t>
  </si>
  <si>
    <t>Full loss of natural forest to annual crops with fire</t>
  </si>
  <si>
    <t>Full loss of natural forest to annual crops without fire</t>
  </si>
  <si>
    <t>Full loss of natural tree cover to short vegetation with disturbance that emits all non-soil C pools with fire</t>
  </si>
  <si>
    <t>Full loss of natural tree cover to short vegetation with disturbance that emits all non-soil C pools without fire</t>
  </si>
  <si>
    <t>Full loss of natural tree cover to short vegetation with disturbance that emits biomass C pools only with fire</t>
  </si>
  <si>
    <t>Full loss of natural tree cover to short vegetation with disturbance that emits biomass C pools only without fire</t>
  </si>
  <si>
    <t>Full loss of natural tree cover to builtup with fire</t>
  </si>
  <si>
    <t>Full loss of natural tree cover to builtup without fire</t>
  </si>
  <si>
    <t>Full loss of trees in other land covers to annual crops with fire</t>
  </si>
  <si>
    <t>Full loss of trees in other land covers to annual crops without fire</t>
  </si>
  <si>
    <t>Full loss of trees in other land covers to short vegetation with fire</t>
  </si>
  <si>
    <t>Full loss of trees in other land covers to short vegetation without fire</t>
  </si>
  <si>
    <t>Full loss of trees in other land covers to builtup with fire</t>
  </si>
  <si>
    <t>Full loss of trees in other land covers to builtup without fire</t>
  </si>
  <si>
    <t>Full loss of trees in other land covers to anything else without fire</t>
  </si>
  <si>
    <t>Oil palm partially disturbed in the current interval with fire</t>
  </si>
  <si>
    <t>Other planted trees partially disturbed in the current interval with fire</t>
  </si>
  <si>
    <t>Other planted trees partially disturbed in the current interval without fire</t>
  </si>
  <si>
    <t>Primary forest partially disturbed in the current interval with fire</t>
  </si>
  <si>
    <t>Primary forest partially disturbed in the current interval without fire</t>
  </si>
  <si>
    <t>Secondary forest partially disturbed in the current interval with fire</t>
  </si>
  <si>
    <t>Secondary forest partially disturbed in the current interval without fire</t>
  </si>
  <si>
    <t>Trees in other land covers partially disturbed in the current interval with fire</t>
  </si>
  <si>
    <t>Primary forest without substantial height reduction since model start with fire</t>
  </si>
  <si>
    <t>Primary forest without substantial height reduction since model start without fire</t>
  </si>
  <si>
    <t>Old secondary forest without substantial height reduction since model start with fire</t>
  </si>
  <si>
    <t>Old secondary forest without substantial height reduction since model start without fire</t>
  </si>
  <si>
    <t>Trees in other land covers not disturbed in the current interval with fire</t>
  </si>
  <si>
    <t>Trees in other land covers not disturbed in the current interval without fire</t>
  </si>
  <si>
    <t>Annual crop gain</t>
  </si>
  <si>
    <t>Annual crops remaining annual crops with fire</t>
  </si>
  <si>
    <t>Annual crops remaining annual crops without fire</t>
  </si>
  <si>
    <t>Annual crop loss to short vegetation with fire</t>
  </si>
  <si>
    <t>Annual crop loss to short vegetation without fire</t>
  </si>
  <si>
    <t>Annual crop loss to anything else with fire</t>
  </si>
  <si>
    <t>Annual crop loss to anything else without fire</t>
  </si>
  <si>
    <t>Oil palm partially disturbed in the current interval without fire</t>
  </si>
  <si>
    <t>Trees in other land covers partially disturbed in the current interval without fire</t>
  </si>
  <si>
    <t>Annual crop loss to water</t>
  </si>
  <si>
    <t>Full loss of natural tree cover to anything else (wetland/open water/ice, etc.) without fire</t>
  </si>
  <si>
    <t>Outside study area (NoData or ocean codes)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</si>
</sst>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.8000000000000007"/>
      <color rgb="FF8C8C8C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workbookViewId="0">
      <selection sqref="A1:A1048576"/>
    </sheetView>
  </sheetViews>
  <sheetFormatPr defaultRowHeight="14.5"/>
  <cols>
    <col min="1" max="1" width="11.26953125" bestFit="1" customWidth="1"/>
    <col min="2" max="2" width="21.54296875" bestFit="1" customWidth="1"/>
  </cols>
  <sheetData>
    <row r="1" spans="1:3">
      <c r="A1" s="1" t="s">
        <v>76</v>
      </c>
      <c r="B1" s="1" t="s">
        <v>77</v>
      </c>
      <c r="C1" s="1" t="s">
        <v>0</v>
      </c>
    </row>
    <row r="2" spans="1:3">
      <c r="A2">
        <v>1110000</v>
      </c>
      <c r="B2" t="str">
        <f>_xlfn.CONCAT("n",A2)</f>
        <v>n1110000</v>
      </c>
      <c r="C2" t="s">
        <v>1</v>
      </c>
    </row>
    <row r="3" spans="1:3">
      <c r="A3">
        <v>1120000</v>
      </c>
      <c r="B3" t="str">
        <f t="shared" ref="B3:B66" si="0">_xlfn.CONCAT("n",A3)</f>
        <v>n1120000</v>
      </c>
      <c r="C3" t="s">
        <v>2</v>
      </c>
    </row>
    <row r="4" spans="1:3">
      <c r="A4">
        <v>1210000</v>
      </c>
      <c r="B4" t="str">
        <f t="shared" si="0"/>
        <v>n1210000</v>
      </c>
      <c r="C4" t="s">
        <v>3</v>
      </c>
    </row>
    <row r="5" spans="1:3">
      <c r="A5">
        <v>1220000</v>
      </c>
      <c r="B5" t="str">
        <f t="shared" si="0"/>
        <v>n1220000</v>
      </c>
      <c r="C5" t="s">
        <v>4</v>
      </c>
    </row>
    <row r="6" spans="1:3">
      <c r="A6">
        <v>2000000</v>
      </c>
      <c r="B6" t="str">
        <f t="shared" si="0"/>
        <v>n2000000</v>
      </c>
      <c r="C6" t="s">
        <v>5</v>
      </c>
    </row>
    <row r="7" spans="1:3">
      <c r="A7">
        <v>2111000</v>
      </c>
      <c r="B7" t="str">
        <f t="shared" si="0"/>
        <v>n2111000</v>
      </c>
      <c r="C7" t="s">
        <v>6</v>
      </c>
    </row>
    <row r="8" spans="1:3">
      <c r="A8">
        <v>2112000</v>
      </c>
      <c r="B8" t="str">
        <f t="shared" si="0"/>
        <v>n2112000</v>
      </c>
      <c r="C8" t="s">
        <v>7</v>
      </c>
    </row>
    <row r="9" spans="1:3">
      <c r="A9">
        <v>2121100</v>
      </c>
      <c r="B9" t="str">
        <f t="shared" si="0"/>
        <v>n2121100</v>
      </c>
      <c r="C9" t="s">
        <v>8</v>
      </c>
    </row>
    <row r="10" spans="1:3">
      <c r="A10">
        <v>2121200</v>
      </c>
      <c r="B10" t="str">
        <f t="shared" si="0"/>
        <v>n2121200</v>
      </c>
      <c r="C10" t="s">
        <v>9</v>
      </c>
    </row>
    <row r="11" spans="1:3">
      <c r="A11">
        <v>2122100</v>
      </c>
      <c r="B11" t="str">
        <f t="shared" si="0"/>
        <v>n2122100</v>
      </c>
      <c r="C11" t="s">
        <v>10</v>
      </c>
    </row>
    <row r="12" spans="1:3">
      <c r="A12">
        <v>2122200</v>
      </c>
      <c r="B12" t="str">
        <f t="shared" si="0"/>
        <v>n2122200</v>
      </c>
      <c r="C12" t="s">
        <v>11</v>
      </c>
    </row>
    <row r="13" spans="1:3">
      <c r="A13">
        <v>2123100</v>
      </c>
      <c r="B13" t="str">
        <f t="shared" si="0"/>
        <v>n2123100</v>
      </c>
      <c r="C13" t="s">
        <v>12</v>
      </c>
    </row>
    <row r="14" spans="1:3">
      <c r="A14">
        <v>2123200</v>
      </c>
      <c r="B14" t="str">
        <f t="shared" si="0"/>
        <v>n2123200</v>
      </c>
      <c r="C14" t="s">
        <v>13</v>
      </c>
    </row>
    <row r="15" spans="1:3">
      <c r="A15">
        <v>2124100</v>
      </c>
      <c r="B15" t="str">
        <f t="shared" si="0"/>
        <v>n2124100</v>
      </c>
      <c r="C15" t="s">
        <v>14</v>
      </c>
    </row>
    <row r="16" spans="1:3">
      <c r="A16">
        <v>2124200</v>
      </c>
      <c r="B16" t="str">
        <f t="shared" si="0"/>
        <v>n2124200</v>
      </c>
      <c r="C16" t="s">
        <v>15</v>
      </c>
    </row>
    <row r="17" spans="1:3">
      <c r="A17">
        <v>2125100</v>
      </c>
      <c r="B17" t="str">
        <f t="shared" si="0"/>
        <v>n2125100</v>
      </c>
      <c r="C17" t="s">
        <v>16</v>
      </c>
    </row>
    <row r="18" spans="1:3">
      <c r="A18">
        <v>2125200</v>
      </c>
      <c r="B18" t="str">
        <f t="shared" si="0"/>
        <v>n2125200</v>
      </c>
      <c r="C18" t="s">
        <v>17</v>
      </c>
    </row>
    <row r="19" spans="1:3">
      <c r="A19">
        <v>2211100</v>
      </c>
      <c r="B19" t="str">
        <f t="shared" si="0"/>
        <v>n2211100</v>
      </c>
      <c r="C19" t="s">
        <v>18</v>
      </c>
    </row>
    <row r="20" spans="1:3">
      <c r="A20">
        <v>2211200</v>
      </c>
      <c r="B20" t="str">
        <f t="shared" si="0"/>
        <v>n2211200</v>
      </c>
      <c r="C20" t="s">
        <v>19</v>
      </c>
    </row>
    <row r="21" spans="1:3">
      <c r="A21">
        <v>2212110</v>
      </c>
      <c r="B21" t="str">
        <f t="shared" si="0"/>
        <v>n2212110</v>
      </c>
      <c r="C21" t="s">
        <v>20</v>
      </c>
    </row>
    <row r="22" spans="1:3">
      <c r="A22">
        <v>2212120</v>
      </c>
      <c r="B22" t="str">
        <f t="shared" si="0"/>
        <v>n2212120</v>
      </c>
      <c r="C22" t="s">
        <v>21</v>
      </c>
    </row>
    <row r="23" spans="1:3">
      <c r="A23">
        <v>2212210</v>
      </c>
      <c r="B23" t="str">
        <f t="shared" si="0"/>
        <v>n2212210</v>
      </c>
      <c r="C23" t="s">
        <v>22</v>
      </c>
    </row>
    <row r="24" spans="1:3">
      <c r="A24">
        <v>2212220</v>
      </c>
      <c r="B24" t="str">
        <f t="shared" si="0"/>
        <v>n2212220</v>
      </c>
      <c r="C24" t="s">
        <v>23</v>
      </c>
    </row>
    <row r="25" spans="1:3">
      <c r="A25">
        <v>2213110</v>
      </c>
      <c r="B25" t="str">
        <f t="shared" si="0"/>
        <v>n2213110</v>
      </c>
      <c r="C25" t="s">
        <v>24</v>
      </c>
    </row>
    <row r="26" spans="1:3">
      <c r="A26">
        <v>2213120</v>
      </c>
      <c r="B26" t="str">
        <f t="shared" si="0"/>
        <v>n2213120</v>
      </c>
      <c r="C26" t="s">
        <v>25</v>
      </c>
    </row>
    <row r="27" spans="1:3">
      <c r="A27">
        <v>2213210</v>
      </c>
      <c r="B27" t="str">
        <f t="shared" si="0"/>
        <v>n2213210</v>
      </c>
      <c r="C27" t="s">
        <v>26</v>
      </c>
    </row>
    <row r="28" spans="1:3">
      <c r="A28">
        <v>2213220</v>
      </c>
      <c r="B28" t="str">
        <f t="shared" si="0"/>
        <v>n2213220</v>
      </c>
      <c r="C28" t="s">
        <v>27</v>
      </c>
    </row>
    <row r="29" spans="1:3">
      <c r="A29">
        <v>2214100</v>
      </c>
      <c r="B29" t="str">
        <f t="shared" si="0"/>
        <v>n2214100</v>
      </c>
      <c r="C29" t="s">
        <v>28</v>
      </c>
    </row>
    <row r="30" spans="1:3">
      <c r="A30">
        <v>2214200</v>
      </c>
      <c r="B30" t="str">
        <f t="shared" si="0"/>
        <v>n2214200</v>
      </c>
      <c r="C30" t="s">
        <v>29</v>
      </c>
    </row>
    <row r="31" spans="1:3">
      <c r="A31">
        <v>2215100</v>
      </c>
      <c r="B31" t="str">
        <f t="shared" si="0"/>
        <v>n2215100</v>
      </c>
      <c r="C31" t="s">
        <v>30</v>
      </c>
    </row>
    <row r="32" spans="1:3">
      <c r="A32">
        <v>2215200</v>
      </c>
      <c r="B32" t="str">
        <f t="shared" si="0"/>
        <v>n2215200</v>
      </c>
      <c r="C32" t="s">
        <v>31</v>
      </c>
    </row>
    <row r="33" spans="1:3">
      <c r="A33">
        <v>2221100</v>
      </c>
      <c r="B33" t="str">
        <f t="shared" si="0"/>
        <v>n2221100</v>
      </c>
      <c r="C33" t="s">
        <v>32</v>
      </c>
    </row>
    <row r="34" spans="1:3">
      <c r="A34">
        <v>2221200</v>
      </c>
      <c r="B34" t="str">
        <f t="shared" si="0"/>
        <v>n2221200</v>
      </c>
      <c r="C34" t="s">
        <v>33</v>
      </c>
    </row>
    <row r="35" spans="1:3">
      <c r="A35">
        <v>2222100</v>
      </c>
      <c r="B35" t="str">
        <f t="shared" si="0"/>
        <v>n2222100</v>
      </c>
      <c r="C35" t="s">
        <v>34</v>
      </c>
    </row>
    <row r="36" spans="1:3">
      <c r="A36">
        <v>2222200</v>
      </c>
      <c r="B36" t="str">
        <f t="shared" si="0"/>
        <v>n2222200</v>
      </c>
      <c r="C36" t="s">
        <v>35</v>
      </c>
    </row>
    <row r="37" spans="1:3">
      <c r="A37">
        <v>2223100</v>
      </c>
      <c r="B37" t="str">
        <f t="shared" si="0"/>
        <v>n2223100</v>
      </c>
      <c r="C37" t="s">
        <v>36</v>
      </c>
    </row>
    <row r="38" spans="1:3">
      <c r="A38">
        <v>2223200</v>
      </c>
      <c r="B38" t="str">
        <f t="shared" si="0"/>
        <v>n2223200</v>
      </c>
      <c r="C38" t="s">
        <v>37</v>
      </c>
    </row>
    <row r="39" spans="1:3">
      <c r="A39">
        <v>3110000</v>
      </c>
      <c r="B39" t="str">
        <f t="shared" si="0"/>
        <v>n3110000</v>
      </c>
      <c r="C39" t="s">
        <v>38</v>
      </c>
    </row>
    <row r="40" spans="1:3">
      <c r="A40">
        <v>3120000</v>
      </c>
      <c r="B40" t="str">
        <f t="shared" si="0"/>
        <v>n3120000</v>
      </c>
      <c r="C40" t="s">
        <v>39</v>
      </c>
    </row>
    <row r="41" spans="1:3">
      <c r="A41">
        <v>3211111</v>
      </c>
      <c r="B41" t="str">
        <f t="shared" si="0"/>
        <v>n3211111</v>
      </c>
      <c r="C41" t="s">
        <v>40</v>
      </c>
    </row>
    <row r="42" spans="1:3">
      <c r="A42">
        <v>3211112</v>
      </c>
      <c r="B42" t="str">
        <f t="shared" si="0"/>
        <v>n3211112</v>
      </c>
      <c r="C42" t="s">
        <v>41</v>
      </c>
    </row>
    <row r="43" spans="1:3">
      <c r="A43">
        <v>3211121</v>
      </c>
      <c r="B43" t="str">
        <f t="shared" si="0"/>
        <v>n3211121</v>
      </c>
      <c r="C43" t="s">
        <v>42</v>
      </c>
    </row>
    <row r="44" spans="1:3">
      <c r="A44">
        <v>3211122</v>
      </c>
      <c r="B44" t="str">
        <f t="shared" si="0"/>
        <v>n3211122</v>
      </c>
      <c r="C44" t="s">
        <v>43</v>
      </c>
    </row>
    <row r="45" spans="1:3">
      <c r="A45">
        <v>3211211</v>
      </c>
      <c r="B45" t="str">
        <f t="shared" si="0"/>
        <v>n3211211</v>
      </c>
      <c r="C45" t="s">
        <v>44</v>
      </c>
    </row>
    <row r="46" spans="1:3">
      <c r="A46">
        <v>3211212</v>
      </c>
      <c r="B46" t="str">
        <f t="shared" si="0"/>
        <v>n3211212</v>
      </c>
      <c r="C46" t="s">
        <v>45</v>
      </c>
    </row>
    <row r="47" spans="1:3">
      <c r="A47">
        <v>3211221</v>
      </c>
      <c r="B47" t="str">
        <f t="shared" si="0"/>
        <v>n3211221</v>
      </c>
      <c r="C47" t="s">
        <v>46</v>
      </c>
    </row>
    <row r="48" spans="1:3">
      <c r="A48">
        <v>3211222</v>
      </c>
      <c r="B48" t="str">
        <f t="shared" si="0"/>
        <v>n3211222</v>
      </c>
      <c r="C48" t="s">
        <v>47</v>
      </c>
    </row>
    <row r="49" spans="1:3">
      <c r="A49">
        <v>3212111</v>
      </c>
      <c r="B49" t="str">
        <f t="shared" si="0"/>
        <v>n3212111</v>
      </c>
      <c r="C49" t="s">
        <v>48</v>
      </c>
    </row>
    <row r="50" spans="1:3">
      <c r="A50">
        <v>3212112</v>
      </c>
      <c r="B50" t="str">
        <f t="shared" si="0"/>
        <v>n3212112</v>
      </c>
      <c r="C50" t="s">
        <v>49</v>
      </c>
    </row>
    <row r="51" spans="1:3">
      <c r="A51">
        <v>3212121</v>
      </c>
      <c r="B51" t="str">
        <f t="shared" si="0"/>
        <v>n3212121</v>
      </c>
      <c r="C51" t="s">
        <v>50</v>
      </c>
    </row>
    <row r="52" spans="1:3">
      <c r="A52">
        <v>3212122</v>
      </c>
      <c r="B52" t="str">
        <f t="shared" si="0"/>
        <v>n3212122</v>
      </c>
      <c r="C52" t="s">
        <v>51</v>
      </c>
    </row>
    <row r="53" spans="1:3">
      <c r="A53">
        <v>3212211</v>
      </c>
      <c r="B53" t="str">
        <f t="shared" si="0"/>
        <v>n3212211</v>
      </c>
      <c r="C53" t="s">
        <v>52</v>
      </c>
    </row>
    <row r="54" spans="1:3">
      <c r="A54">
        <v>3212212</v>
      </c>
      <c r="B54" t="str">
        <f t="shared" si="0"/>
        <v>n3212212</v>
      </c>
      <c r="C54" t="s">
        <v>53</v>
      </c>
    </row>
    <row r="55" spans="1:3">
      <c r="A55">
        <v>3212221</v>
      </c>
      <c r="B55" t="str">
        <f t="shared" si="0"/>
        <v>n3212221</v>
      </c>
      <c r="C55" t="s">
        <v>54</v>
      </c>
    </row>
    <row r="56" spans="1:3">
      <c r="A56">
        <v>3212222</v>
      </c>
      <c r="B56" t="str">
        <f t="shared" si="0"/>
        <v>n3212222</v>
      </c>
      <c r="C56" t="s">
        <v>55</v>
      </c>
    </row>
    <row r="57" spans="1:3">
      <c r="A57">
        <v>3221110</v>
      </c>
      <c r="B57" t="str">
        <f t="shared" si="0"/>
        <v>n3221110</v>
      </c>
      <c r="C57" t="s">
        <v>56</v>
      </c>
    </row>
    <row r="58" spans="1:3">
      <c r="A58">
        <v>3221120</v>
      </c>
      <c r="B58" t="str">
        <f t="shared" si="0"/>
        <v>n3221120</v>
      </c>
      <c r="C58" t="s">
        <v>57</v>
      </c>
    </row>
    <row r="59" spans="1:3">
      <c r="A59">
        <v>3221210</v>
      </c>
      <c r="B59" t="str">
        <f t="shared" si="0"/>
        <v>n3221210</v>
      </c>
      <c r="C59" t="s">
        <v>58</v>
      </c>
    </row>
    <row r="60" spans="1:3">
      <c r="A60">
        <v>3221220</v>
      </c>
      <c r="B60" t="str">
        <f t="shared" si="0"/>
        <v>n3221220</v>
      </c>
      <c r="C60" t="s">
        <v>59</v>
      </c>
    </row>
    <row r="61" spans="1:3">
      <c r="A61">
        <v>3222111</v>
      </c>
      <c r="B61" t="str">
        <f t="shared" si="0"/>
        <v>n3222111</v>
      </c>
      <c r="C61" t="s">
        <v>60</v>
      </c>
    </row>
    <row r="62" spans="1:3">
      <c r="A62">
        <v>3222112</v>
      </c>
      <c r="B62" t="str">
        <f t="shared" si="0"/>
        <v>n3222112</v>
      </c>
      <c r="C62" t="s">
        <v>61</v>
      </c>
    </row>
    <row r="63" spans="1:3">
      <c r="A63">
        <v>3222121</v>
      </c>
      <c r="B63" t="str">
        <f t="shared" si="0"/>
        <v>n3222121</v>
      </c>
      <c r="C63" t="s">
        <v>62</v>
      </c>
    </row>
    <row r="64" spans="1:3">
      <c r="A64">
        <v>3222122</v>
      </c>
      <c r="B64" t="str">
        <f t="shared" si="0"/>
        <v>n3222122</v>
      </c>
      <c r="C64" t="s">
        <v>63</v>
      </c>
    </row>
    <row r="65" spans="1:3">
      <c r="A65">
        <v>3222210</v>
      </c>
      <c r="B65" t="str">
        <f t="shared" si="0"/>
        <v>n3222210</v>
      </c>
      <c r="C65" t="s">
        <v>64</v>
      </c>
    </row>
    <row r="66" spans="1:3">
      <c r="A66">
        <v>3222220</v>
      </c>
      <c r="B66" t="str">
        <f t="shared" si="0"/>
        <v>n3222220</v>
      </c>
      <c r="C66" t="s">
        <v>65</v>
      </c>
    </row>
    <row r="67" spans="1:3">
      <c r="A67">
        <v>4100000</v>
      </c>
      <c r="B67" t="str">
        <f t="shared" ref="B67:B76" si="1">_xlfn.CONCAT("n",A67)</f>
        <v>n4100000</v>
      </c>
      <c r="C67" t="s">
        <v>66</v>
      </c>
    </row>
    <row r="68" spans="1:3">
      <c r="A68">
        <v>4210000</v>
      </c>
      <c r="B68" t="str">
        <f t="shared" si="1"/>
        <v>n4210000</v>
      </c>
      <c r="C68" t="s">
        <v>67</v>
      </c>
    </row>
    <row r="69" spans="1:3">
      <c r="A69">
        <v>4220000</v>
      </c>
      <c r="B69" t="str">
        <f t="shared" si="1"/>
        <v>n4220000</v>
      </c>
      <c r="C69" t="s">
        <v>68</v>
      </c>
    </row>
    <row r="70" spans="1:3">
      <c r="A70">
        <v>4310000</v>
      </c>
      <c r="B70" t="str">
        <f t="shared" si="1"/>
        <v>n4310000</v>
      </c>
      <c r="C70" t="s">
        <v>69</v>
      </c>
    </row>
    <row r="71" spans="1:3">
      <c r="A71">
        <v>4320000</v>
      </c>
      <c r="B71" t="str">
        <f t="shared" si="1"/>
        <v>n4320000</v>
      </c>
      <c r="C71" t="s">
        <v>70</v>
      </c>
    </row>
    <row r="72" spans="1:3">
      <c r="A72">
        <v>5100000</v>
      </c>
      <c r="B72" t="str">
        <f t="shared" si="1"/>
        <v>n5100000</v>
      </c>
      <c r="C72" t="s">
        <v>71</v>
      </c>
    </row>
    <row r="73" spans="1:3">
      <c r="A73">
        <v>5210000</v>
      </c>
      <c r="B73" t="str">
        <f t="shared" si="1"/>
        <v>n5210000</v>
      </c>
      <c r="C73" t="s">
        <v>72</v>
      </c>
    </row>
    <row r="74" spans="1:3">
      <c r="A74">
        <v>5220000</v>
      </c>
      <c r="B74" t="str">
        <f t="shared" si="1"/>
        <v>n5220000</v>
      </c>
      <c r="C74" t="s">
        <v>73</v>
      </c>
    </row>
    <row r="75" spans="1:3">
      <c r="A75">
        <v>5310000</v>
      </c>
      <c r="B75" t="str">
        <f t="shared" si="1"/>
        <v>n5310000</v>
      </c>
      <c r="C75" t="s">
        <v>74</v>
      </c>
    </row>
    <row r="76" spans="1:3">
      <c r="A76">
        <v>5320000</v>
      </c>
      <c r="B76" t="str">
        <f t="shared" si="1"/>
        <v>n5320000</v>
      </c>
      <c r="C76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0781-4690-4C4E-8E78-7EC47B65C964}">
  <dimension ref="A1:F82"/>
  <sheetViews>
    <sheetView topLeftCell="A49" workbookViewId="0">
      <selection activeCell="D25" sqref="D25"/>
    </sheetView>
  </sheetViews>
  <sheetFormatPr defaultRowHeight="14.5"/>
  <cols>
    <col min="1" max="1" width="23.54296875" bestFit="1" customWidth="1"/>
    <col min="2" max="2" width="13.6328125" bestFit="1" customWidth="1"/>
    <col min="3" max="3" width="24.81640625" bestFit="1" customWidth="1"/>
    <col min="4" max="4" width="132.26953125" bestFit="1" customWidth="1"/>
    <col min="5" max="5" width="15.08984375" bestFit="1" customWidth="1"/>
    <col min="6" max="6" width="30.54296875" bestFit="1" customWidth="1"/>
  </cols>
  <sheetData>
    <row r="1" spans="1:6">
      <c r="A1" s="1" t="s">
        <v>78</v>
      </c>
      <c r="B1" s="1" t="s">
        <v>76</v>
      </c>
      <c r="C1" s="1" t="s">
        <v>77</v>
      </c>
      <c r="D1" s="1" t="s">
        <v>0</v>
      </c>
      <c r="E1" s="1" t="s">
        <v>158</v>
      </c>
      <c r="F1" s="1" t="s">
        <v>159</v>
      </c>
    </row>
    <row r="2" spans="1:6">
      <c r="A2" s="2">
        <v>211</v>
      </c>
      <c r="B2" t="str">
        <f>A2&amp;REPT("0",8-LEN(A2))</f>
        <v>21100000</v>
      </c>
      <c r="C2" t="str">
        <f>_xlfn.CONCAT("n",B2)</f>
        <v>n21100000</v>
      </c>
      <c r="D2" s="2" t="s">
        <v>79</v>
      </c>
      <c r="E2" t="s">
        <v>170</v>
      </c>
      <c r="F2" t="s">
        <v>160</v>
      </c>
    </row>
    <row r="3" spans="1:6">
      <c r="A3" s="2">
        <v>212</v>
      </c>
      <c r="B3" t="str">
        <f t="shared" ref="B3:B66" si="0">A3&amp;REPT("0",8-LEN(A3))</f>
        <v>21200000</v>
      </c>
      <c r="C3" t="str">
        <f t="shared" ref="C3:C66" si="1">_xlfn.CONCAT("n",B3)</f>
        <v>n21200000</v>
      </c>
      <c r="D3" s="2" t="s">
        <v>80</v>
      </c>
      <c r="E3" t="s">
        <v>170</v>
      </c>
      <c r="F3" t="s">
        <v>160</v>
      </c>
    </row>
    <row r="4" spans="1:6">
      <c r="A4" s="2">
        <v>221</v>
      </c>
      <c r="B4" t="str">
        <f t="shared" si="0"/>
        <v>22100000</v>
      </c>
      <c r="C4" t="str">
        <f t="shared" si="1"/>
        <v>n22100000</v>
      </c>
      <c r="D4" s="2" t="s">
        <v>81</v>
      </c>
      <c r="E4" t="s">
        <v>170</v>
      </c>
      <c r="F4" t="s">
        <v>160</v>
      </c>
    </row>
    <row r="5" spans="1:6" s="4" customFormat="1">
      <c r="A5" s="3">
        <v>222</v>
      </c>
      <c r="B5" s="4" t="str">
        <f t="shared" si="0"/>
        <v>22200000</v>
      </c>
      <c r="C5" s="4" t="str">
        <f t="shared" si="1"/>
        <v>n22200000</v>
      </c>
      <c r="D5" s="3" t="s">
        <v>82</v>
      </c>
      <c r="E5" s="4" t="s">
        <v>170</v>
      </c>
      <c r="F5" s="4" t="s">
        <v>160</v>
      </c>
    </row>
    <row r="6" spans="1:6">
      <c r="A6" s="2">
        <v>3119</v>
      </c>
      <c r="B6" t="str">
        <f t="shared" si="0"/>
        <v>31190000</v>
      </c>
      <c r="C6" t="str">
        <f t="shared" si="1"/>
        <v>n31190000</v>
      </c>
      <c r="D6" s="2" t="s">
        <v>83</v>
      </c>
      <c r="E6" t="s">
        <v>170</v>
      </c>
      <c r="F6" t="s">
        <v>161</v>
      </c>
    </row>
    <row r="7" spans="1:6">
      <c r="A7" s="2">
        <v>3112</v>
      </c>
      <c r="B7" t="str">
        <f t="shared" si="0"/>
        <v>31120000</v>
      </c>
      <c r="C7" t="str">
        <f t="shared" si="1"/>
        <v>n31120000</v>
      </c>
      <c r="D7" s="2" t="s">
        <v>84</v>
      </c>
      <c r="E7" t="s">
        <v>170</v>
      </c>
      <c r="F7" t="s">
        <v>161</v>
      </c>
    </row>
    <row r="8" spans="1:6">
      <c r="A8" s="2">
        <v>312119</v>
      </c>
      <c r="B8" t="str">
        <f t="shared" si="0"/>
        <v>31211900</v>
      </c>
      <c r="C8" t="str">
        <f t="shared" si="1"/>
        <v>n31211900</v>
      </c>
      <c r="D8" s="2" t="s">
        <v>85</v>
      </c>
      <c r="E8" t="s">
        <v>170</v>
      </c>
      <c r="F8" t="s">
        <v>161</v>
      </c>
    </row>
    <row r="9" spans="1:6">
      <c r="A9" s="2">
        <v>312112</v>
      </c>
      <c r="B9" t="str">
        <f t="shared" si="0"/>
        <v>31211200</v>
      </c>
      <c r="C9" t="str">
        <f t="shared" si="1"/>
        <v>n31211200</v>
      </c>
      <c r="D9" s="2" t="s">
        <v>86</v>
      </c>
      <c r="E9" t="s">
        <v>170</v>
      </c>
      <c r="F9" t="s">
        <v>161</v>
      </c>
    </row>
    <row r="10" spans="1:6">
      <c r="A10" s="2">
        <v>312129</v>
      </c>
      <c r="B10" t="str">
        <f t="shared" si="0"/>
        <v>31212900</v>
      </c>
      <c r="C10" t="str">
        <f t="shared" si="1"/>
        <v>n31212900</v>
      </c>
      <c r="D10" s="2" t="s">
        <v>87</v>
      </c>
      <c r="E10" t="s">
        <v>170</v>
      </c>
      <c r="F10" t="s">
        <v>161</v>
      </c>
    </row>
    <row r="11" spans="1:6">
      <c r="A11" s="2">
        <v>312122</v>
      </c>
      <c r="B11" t="str">
        <f t="shared" si="0"/>
        <v>31212200</v>
      </c>
      <c r="C11" t="str">
        <f t="shared" si="1"/>
        <v>n31212200</v>
      </c>
      <c r="D11" s="2" t="s">
        <v>88</v>
      </c>
      <c r="E11" t="s">
        <v>170</v>
      </c>
      <c r="F11" t="s">
        <v>161</v>
      </c>
    </row>
    <row r="12" spans="1:6">
      <c r="A12" s="2">
        <v>312219</v>
      </c>
      <c r="B12" t="str">
        <f t="shared" si="0"/>
        <v>31221900</v>
      </c>
      <c r="C12" t="str">
        <f t="shared" si="1"/>
        <v>n31221900</v>
      </c>
      <c r="D12" s="2" t="s">
        <v>89</v>
      </c>
      <c r="E12" t="s">
        <v>170</v>
      </c>
      <c r="F12" t="s">
        <v>161</v>
      </c>
    </row>
    <row r="13" spans="1:6">
      <c r="A13" s="2">
        <v>312212</v>
      </c>
      <c r="B13" t="str">
        <f t="shared" si="0"/>
        <v>31221200</v>
      </c>
      <c r="C13" t="str">
        <f t="shared" si="1"/>
        <v>n31221200</v>
      </c>
      <c r="D13" s="2" t="s">
        <v>90</v>
      </c>
      <c r="E13" t="s">
        <v>170</v>
      </c>
      <c r="F13" t="s">
        <v>161</v>
      </c>
    </row>
    <row r="14" spans="1:6">
      <c r="A14" s="2">
        <v>312229</v>
      </c>
      <c r="B14" t="str">
        <f t="shared" si="0"/>
        <v>31222900</v>
      </c>
      <c r="C14" t="str">
        <f t="shared" si="1"/>
        <v>n31222900</v>
      </c>
      <c r="D14" s="2" t="s">
        <v>91</v>
      </c>
      <c r="E14" t="s">
        <v>170</v>
      </c>
      <c r="F14" t="s">
        <v>161</v>
      </c>
    </row>
    <row r="15" spans="1:6">
      <c r="A15" s="2">
        <v>312222</v>
      </c>
      <c r="B15" t="str">
        <f t="shared" si="0"/>
        <v>31222200</v>
      </c>
      <c r="C15" t="str">
        <f t="shared" si="1"/>
        <v>n31222200</v>
      </c>
      <c r="D15" s="2" t="s">
        <v>92</v>
      </c>
      <c r="E15" t="s">
        <v>170</v>
      </c>
      <c r="F15" t="s">
        <v>161</v>
      </c>
    </row>
    <row r="16" spans="1:6">
      <c r="A16" s="2">
        <v>312319</v>
      </c>
      <c r="B16" t="str">
        <f t="shared" si="0"/>
        <v>31231900</v>
      </c>
      <c r="C16" t="str">
        <f t="shared" si="1"/>
        <v>n31231900</v>
      </c>
      <c r="D16" s="2" t="s">
        <v>93</v>
      </c>
      <c r="E16" t="s">
        <v>170</v>
      </c>
      <c r="F16" t="s">
        <v>161</v>
      </c>
    </row>
    <row r="17" spans="1:6">
      <c r="A17" s="2">
        <v>312312</v>
      </c>
      <c r="B17" t="str">
        <f t="shared" si="0"/>
        <v>31231200</v>
      </c>
      <c r="C17" t="str">
        <f t="shared" si="1"/>
        <v>n31231200</v>
      </c>
      <c r="D17" s="2" t="s">
        <v>94</v>
      </c>
      <c r="E17" t="s">
        <v>170</v>
      </c>
      <c r="F17" t="s">
        <v>161</v>
      </c>
    </row>
    <row r="18" spans="1:6">
      <c r="A18" s="2">
        <v>312329</v>
      </c>
      <c r="B18" t="str">
        <f t="shared" si="0"/>
        <v>31232900</v>
      </c>
      <c r="C18" t="str">
        <f t="shared" si="1"/>
        <v>n31232900</v>
      </c>
      <c r="D18" s="2" t="s">
        <v>95</v>
      </c>
      <c r="E18" t="s">
        <v>170</v>
      </c>
      <c r="F18" t="s">
        <v>161</v>
      </c>
    </row>
    <row r="19" spans="1:6">
      <c r="A19" s="2">
        <v>312322</v>
      </c>
      <c r="B19" t="str">
        <f t="shared" si="0"/>
        <v>31232200</v>
      </c>
      <c r="C19" t="str">
        <f t="shared" si="1"/>
        <v>n31232200</v>
      </c>
      <c r="D19" s="2" t="s">
        <v>96</v>
      </c>
      <c r="E19" t="s">
        <v>170</v>
      </c>
      <c r="F19" t="s">
        <v>161</v>
      </c>
    </row>
    <row r="20" spans="1:6">
      <c r="A20" s="2">
        <v>312412</v>
      </c>
      <c r="B20" t="str">
        <f t="shared" si="0"/>
        <v>31241200</v>
      </c>
      <c r="C20" t="str">
        <f t="shared" si="1"/>
        <v>n31241200</v>
      </c>
      <c r="D20" s="2" t="s">
        <v>97</v>
      </c>
      <c r="E20" t="s">
        <v>170</v>
      </c>
      <c r="F20" t="s">
        <v>161</v>
      </c>
    </row>
    <row r="21" spans="1:6">
      <c r="A21" s="2">
        <v>312422</v>
      </c>
      <c r="B21" t="str">
        <f t="shared" si="0"/>
        <v>31242200</v>
      </c>
      <c r="C21" t="str">
        <f t="shared" si="1"/>
        <v>n31242200</v>
      </c>
      <c r="D21" s="2" t="s">
        <v>98</v>
      </c>
      <c r="E21" t="s">
        <v>170</v>
      </c>
      <c r="F21" t="s">
        <v>161</v>
      </c>
    </row>
    <row r="22" spans="1:6">
      <c r="A22" s="2">
        <v>32119</v>
      </c>
      <c r="B22" t="str">
        <f t="shared" si="0"/>
        <v>32119000</v>
      </c>
      <c r="C22" t="str">
        <f t="shared" si="1"/>
        <v>n32119000</v>
      </c>
      <c r="D22" s="2" t="s">
        <v>99</v>
      </c>
      <c r="E22" t="s">
        <v>170</v>
      </c>
      <c r="F22" t="s">
        <v>161</v>
      </c>
    </row>
    <row r="23" spans="1:6">
      <c r="A23" s="2">
        <v>32112</v>
      </c>
      <c r="B23" t="str">
        <f t="shared" si="0"/>
        <v>32112000</v>
      </c>
      <c r="C23" t="str">
        <f t="shared" si="1"/>
        <v>n32112000</v>
      </c>
      <c r="D23" s="2" t="s">
        <v>100</v>
      </c>
      <c r="E23" t="s">
        <v>170</v>
      </c>
      <c r="F23" t="s">
        <v>161</v>
      </c>
    </row>
    <row r="24" spans="1:6">
      <c r="A24" s="2">
        <v>321219</v>
      </c>
      <c r="B24" t="str">
        <f t="shared" si="0"/>
        <v>32121900</v>
      </c>
      <c r="C24" t="str">
        <f t="shared" si="1"/>
        <v>n32121900</v>
      </c>
      <c r="D24" s="2" t="s">
        <v>101</v>
      </c>
      <c r="E24" t="s">
        <v>170</v>
      </c>
      <c r="F24" t="s">
        <v>161</v>
      </c>
    </row>
    <row r="25" spans="1:6">
      <c r="A25" s="2">
        <v>321212</v>
      </c>
      <c r="B25" t="str">
        <f t="shared" si="0"/>
        <v>32121200</v>
      </c>
      <c r="C25" t="str">
        <f t="shared" si="1"/>
        <v>n32121200</v>
      </c>
      <c r="D25" s="2" t="s">
        <v>102</v>
      </c>
      <c r="E25" t="s">
        <v>170</v>
      </c>
      <c r="F25" t="s">
        <v>161</v>
      </c>
    </row>
    <row r="26" spans="1:6">
      <c r="A26" s="2">
        <v>321229</v>
      </c>
      <c r="B26" t="str">
        <f t="shared" si="0"/>
        <v>32122900</v>
      </c>
      <c r="C26" t="str">
        <f t="shared" si="1"/>
        <v>n32122900</v>
      </c>
      <c r="D26" s="2" t="s">
        <v>103</v>
      </c>
      <c r="E26" t="s">
        <v>170</v>
      </c>
      <c r="F26" t="s">
        <v>161</v>
      </c>
    </row>
    <row r="27" spans="1:6">
      <c r="A27" s="2">
        <v>321222</v>
      </c>
      <c r="B27" t="str">
        <f t="shared" si="0"/>
        <v>32122200</v>
      </c>
      <c r="C27" t="str">
        <f t="shared" si="1"/>
        <v>n32122200</v>
      </c>
      <c r="D27" s="2" t="s">
        <v>104</v>
      </c>
      <c r="E27" t="s">
        <v>170</v>
      </c>
      <c r="F27" t="s">
        <v>161</v>
      </c>
    </row>
    <row r="28" spans="1:6">
      <c r="A28" s="2">
        <v>32139</v>
      </c>
      <c r="B28" t="str">
        <f t="shared" si="0"/>
        <v>32139000</v>
      </c>
      <c r="C28" t="str">
        <f t="shared" si="1"/>
        <v>n32139000</v>
      </c>
      <c r="D28" s="2" t="s">
        <v>105</v>
      </c>
      <c r="E28" t="s">
        <v>170</v>
      </c>
      <c r="F28" t="s">
        <v>161</v>
      </c>
    </row>
    <row r="29" spans="1:6">
      <c r="A29" s="2">
        <v>32132</v>
      </c>
      <c r="B29" t="str">
        <f t="shared" si="0"/>
        <v>32132000</v>
      </c>
      <c r="C29" t="str">
        <f t="shared" si="1"/>
        <v>n32132000</v>
      </c>
      <c r="D29" s="2" t="s">
        <v>106</v>
      </c>
      <c r="E29" t="s">
        <v>170</v>
      </c>
      <c r="F29" t="s">
        <v>161</v>
      </c>
    </row>
    <row r="30" spans="1:6">
      <c r="A30" s="2">
        <v>32142</v>
      </c>
      <c r="B30" t="str">
        <f t="shared" si="0"/>
        <v>32142000</v>
      </c>
      <c r="C30" t="str">
        <f t="shared" si="1"/>
        <v>n32142000</v>
      </c>
      <c r="D30" s="2" t="s">
        <v>107</v>
      </c>
      <c r="E30" t="s">
        <v>170</v>
      </c>
      <c r="F30" t="s">
        <v>161</v>
      </c>
    </row>
    <row r="31" spans="1:6">
      <c r="A31" s="2">
        <v>32219</v>
      </c>
      <c r="B31" t="str">
        <f t="shared" si="0"/>
        <v>32219000</v>
      </c>
      <c r="C31" t="str">
        <f t="shared" si="1"/>
        <v>n32219000</v>
      </c>
      <c r="D31" s="2" t="s">
        <v>108</v>
      </c>
      <c r="E31" t="s">
        <v>170</v>
      </c>
      <c r="F31" t="s">
        <v>161</v>
      </c>
    </row>
    <row r="32" spans="1:6">
      <c r="A32" s="2">
        <v>32212</v>
      </c>
      <c r="B32" t="str">
        <f t="shared" si="0"/>
        <v>32212000</v>
      </c>
      <c r="C32" t="str">
        <f t="shared" si="1"/>
        <v>n32212000</v>
      </c>
      <c r="D32" s="2" t="s">
        <v>109</v>
      </c>
      <c r="E32" t="s">
        <v>170</v>
      </c>
      <c r="F32" t="s">
        <v>161</v>
      </c>
    </row>
    <row r="33" spans="1:6">
      <c r="A33" s="2">
        <v>32229</v>
      </c>
      <c r="B33" t="str">
        <f t="shared" si="0"/>
        <v>32229000</v>
      </c>
      <c r="C33" t="str">
        <f t="shared" si="1"/>
        <v>n32229000</v>
      </c>
      <c r="D33" s="2" t="s">
        <v>110</v>
      </c>
      <c r="E33" t="s">
        <v>170</v>
      </c>
      <c r="F33" t="s">
        <v>161</v>
      </c>
    </row>
    <row r="34" spans="1:6">
      <c r="A34" s="2">
        <v>32222</v>
      </c>
      <c r="B34" t="str">
        <f t="shared" si="0"/>
        <v>32222000</v>
      </c>
      <c r="C34" t="str">
        <f t="shared" si="1"/>
        <v>n32222000</v>
      </c>
      <c r="D34" s="2" t="s">
        <v>111</v>
      </c>
      <c r="E34" t="s">
        <v>170</v>
      </c>
      <c r="F34" t="s">
        <v>161</v>
      </c>
    </row>
    <row r="35" spans="1:6">
      <c r="A35" s="2">
        <v>32239</v>
      </c>
      <c r="B35" t="str">
        <f t="shared" si="0"/>
        <v>32239000</v>
      </c>
      <c r="C35" t="str">
        <f t="shared" si="1"/>
        <v>n32239000</v>
      </c>
      <c r="D35" s="2" t="s">
        <v>112</v>
      </c>
      <c r="E35" t="s">
        <v>170</v>
      </c>
      <c r="F35" t="s">
        <v>161</v>
      </c>
    </row>
    <row r="36" spans="1:6">
      <c r="A36" s="2">
        <v>32232</v>
      </c>
      <c r="B36" t="str">
        <f t="shared" si="0"/>
        <v>32232000</v>
      </c>
      <c r="C36" t="str">
        <f t="shared" si="1"/>
        <v>n32232000</v>
      </c>
      <c r="D36" s="2" t="s">
        <v>113</v>
      </c>
      <c r="E36" t="s">
        <v>170</v>
      </c>
      <c r="F36" t="s">
        <v>161</v>
      </c>
    </row>
    <row r="37" spans="1:6" s="4" customFormat="1">
      <c r="A37" s="3">
        <v>32242</v>
      </c>
      <c r="B37" s="4" t="str">
        <f t="shared" si="0"/>
        <v>32242000</v>
      </c>
      <c r="C37" s="4" t="str">
        <f t="shared" si="1"/>
        <v>n32242000</v>
      </c>
      <c r="D37" s="3" t="s">
        <v>114</v>
      </c>
      <c r="E37" s="4" t="s">
        <v>170</v>
      </c>
      <c r="F37" s="4" t="s">
        <v>161</v>
      </c>
    </row>
    <row r="38" spans="1:6">
      <c r="A38" s="2">
        <v>419</v>
      </c>
      <c r="B38" t="str">
        <f t="shared" si="0"/>
        <v>41900000</v>
      </c>
      <c r="C38" t="str">
        <f t="shared" si="1"/>
        <v>n41900000</v>
      </c>
      <c r="D38" s="2" t="s">
        <v>115</v>
      </c>
      <c r="E38" t="s">
        <v>170</v>
      </c>
      <c r="F38" t="s">
        <v>161</v>
      </c>
    </row>
    <row r="39" spans="1:6">
      <c r="A39" s="2">
        <v>412</v>
      </c>
      <c r="B39" t="str">
        <f t="shared" si="0"/>
        <v>41200000</v>
      </c>
      <c r="C39" t="str">
        <f t="shared" si="1"/>
        <v>n41200000</v>
      </c>
      <c r="D39" s="2" t="s">
        <v>116</v>
      </c>
      <c r="E39" t="s">
        <v>170</v>
      </c>
      <c r="F39" t="s">
        <v>161</v>
      </c>
    </row>
    <row r="40" spans="1:6">
      <c r="A40" s="2">
        <v>4211119</v>
      </c>
      <c r="B40" t="str">
        <f t="shared" si="0"/>
        <v>42111190</v>
      </c>
      <c r="C40" t="str">
        <f t="shared" si="1"/>
        <v>n42111190</v>
      </c>
      <c r="D40" s="2" t="s">
        <v>117</v>
      </c>
      <c r="E40" t="s">
        <v>170</v>
      </c>
      <c r="F40" t="s">
        <v>165</v>
      </c>
    </row>
    <row r="41" spans="1:6">
      <c r="A41" s="2">
        <v>4211112</v>
      </c>
      <c r="B41" t="str">
        <f t="shared" si="0"/>
        <v>42111120</v>
      </c>
      <c r="C41" t="str">
        <f t="shared" si="1"/>
        <v>n42111120</v>
      </c>
      <c r="D41" s="2" t="s">
        <v>118</v>
      </c>
      <c r="E41" t="s">
        <v>170</v>
      </c>
      <c r="F41" t="s">
        <v>165</v>
      </c>
    </row>
    <row r="42" spans="1:6">
      <c r="A42" s="2">
        <v>4211129</v>
      </c>
      <c r="B42" t="str">
        <f t="shared" si="0"/>
        <v>42111290</v>
      </c>
      <c r="C42" t="str">
        <f t="shared" si="1"/>
        <v>n42111290</v>
      </c>
      <c r="D42" s="2" t="s">
        <v>119</v>
      </c>
      <c r="E42" t="s">
        <v>170</v>
      </c>
      <c r="F42" t="s">
        <v>165</v>
      </c>
    </row>
    <row r="43" spans="1:6">
      <c r="A43" s="2">
        <v>4211122</v>
      </c>
      <c r="B43" t="str">
        <f t="shared" si="0"/>
        <v>42111220</v>
      </c>
      <c r="C43" t="str">
        <f t="shared" si="1"/>
        <v>n42111220</v>
      </c>
      <c r="D43" s="2" t="s">
        <v>120</v>
      </c>
      <c r="E43" t="s">
        <v>170</v>
      </c>
      <c r="F43" t="s">
        <v>165</v>
      </c>
    </row>
    <row r="44" spans="1:6">
      <c r="A44" s="2">
        <v>4211219</v>
      </c>
      <c r="B44" t="str">
        <f t="shared" si="0"/>
        <v>42112190</v>
      </c>
      <c r="C44" t="str">
        <f t="shared" si="1"/>
        <v>n42112190</v>
      </c>
      <c r="D44" s="2" t="s">
        <v>121</v>
      </c>
      <c r="E44" t="s">
        <v>170</v>
      </c>
      <c r="F44" t="s">
        <v>165</v>
      </c>
    </row>
    <row r="45" spans="1:6">
      <c r="A45" s="2">
        <v>4211212</v>
      </c>
      <c r="B45" t="str">
        <f t="shared" si="0"/>
        <v>42112120</v>
      </c>
      <c r="C45" t="str">
        <f t="shared" si="1"/>
        <v>n42112120</v>
      </c>
      <c r="D45" s="2" t="s">
        <v>122</v>
      </c>
      <c r="E45" t="s">
        <v>170</v>
      </c>
      <c r="F45" t="s">
        <v>165</v>
      </c>
    </row>
    <row r="46" spans="1:6">
      <c r="A46" s="2">
        <v>4211229</v>
      </c>
      <c r="B46" t="str">
        <f t="shared" si="0"/>
        <v>42112290</v>
      </c>
      <c r="C46" t="str">
        <f t="shared" si="1"/>
        <v>n42112290</v>
      </c>
      <c r="D46" s="2" t="s">
        <v>123</v>
      </c>
      <c r="E46" t="s">
        <v>170</v>
      </c>
      <c r="F46" t="s">
        <v>165</v>
      </c>
    </row>
    <row r="47" spans="1:6">
      <c r="A47" s="2">
        <v>4211222</v>
      </c>
      <c r="B47" t="str">
        <f t="shared" si="0"/>
        <v>42112220</v>
      </c>
      <c r="C47" t="str">
        <f t="shared" si="1"/>
        <v>n42112220</v>
      </c>
      <c r="D47" s="2" t="s">
        <v>124</v>
      </c>
      <c r="E47" t="s">
        <v>170</v>
      </c>
      <c r="F47" t="s">
        <v>165</v>
      </c>
    </row>
    <row r="48" spans="1:6">
      <c r="A48" s="2">
        <v>4212119</v>
      </c>
      <c r="B48" t="str">
        <f t="shared" si="0"/>
        <v>42121190</v>
      </c>
      <c r="C48" t="str">
        <f t="shared" si="1"/>
        <v>n42121190</v>
      </c>
      <c r="D48" s="2" t="s">
        <v>125</v>
      </c>
      <c r="E48" t="s">
        <v>170</v>
      </c>
      <c r="F48" t="s">
        <v>165</v>
      </c>
    </row>
    <row r="49" spans="1:6">
      <c r="A49" s="2">
        <v>4212112</v>
      </c>
      <c r="B49" t="str">
        <f t="shared" si="0"/>
        <v>42121120</v>
      </c>
      <c r="C49" t="str">
        <f t="shared" si="1"/>
        <v>n42121120</v>
      </c>
      <c r="D49" s="2" t="s">
        <v>126</v>
      </c>
      <c r="E49" t="s">
        <v>170</v>
      </c>
      <c r="F49" t="s">
        <v>165</v>
      </c>
    </row>
    <row r="50" spans="1:6">
      <c r="A50" s="2">
        <v>4212129</v>
      </c>
      <c r="B50" t="str">
        <f t="shared" si="0"/>
        <v>42121290</v>
      </c>
      <c r="C50" t="str">
        <f t="shared" si="1"/>
        <v>n42121290</v>
      </c>
      <c r="D50" s="2" t="s">
        <v>127</v>
      </c>
      <c r="E50" t="s">
        <v>170</v>
      </c>
      <c r="F50" t="s">
        <v>165</v>
      </c>
    </row>
    <row r="51" spans="1:6">
      <c r="A51" s="2">
        <v>4212122</v>
      </c>
      <c r="B51" t="str">
        <f t="shared" si="0"/>
        <v>42121220</v>
      </c>
      <c r="C51" t="str">
        <f t="shared" si="1"/>
        <v>n42121220</v>
      </c>
      <c r="D51" s="2" t="s">
        <v>128</v>
      </c>
      <c r="E51" t="s">
        <v>170</v>
      </c>
      <c r="F51" t="s">
        <v>165</v>
      </c>
    </row>
    <row r="52" spans="1:6">
      <c r="A52" s="2">
        <v>4212219</v>
      </c>
      <c r="B52" t="str">
        <f t="shared" si="0"/>
        <v>42122190</v>
      </c>
      <c r="C52" t="str">
        <f t="shared" si="1"/>
        <v>n42122190</v>
      </c>
      <c r="D52" s="2" t="s">
        <v>129</v>
      </c>
      <c r="E52" t="s">
        <v>170</v>
      </c>
      <c r="F52" t="s">
        <v>165</v>
      </c>
    </row>
    <row r="53" spans="1:6">
      <c r="A53" s="2">
        <v>4212212</v>
      </c>
      <c r="B53" t="str">
        <f t="shared" si="0"/>
        <v>42122120</v>
      </c>
      <c r="C53" t="str">
        <f t="shared" si="1"/>
        <v>n42122120</v>
      </c>
      <c r="D53" s="2" t="s">
        <v>130</v>
      </c>
      <c r="E53" t="s">
        <v>170</v>
      </c>
      <c r="F53" t="s">
        <v>165</v>
      </c>
    </row>
    <row r="54" spans="1:6">
      <c r="A54" s="2">
        <v>4212229</v>
      </c>
      <c r="B54" t="str">
        <f t="shared" si="0"/>
        <v>42122290</v>
      </c>
      <c r="C54" t="str">
        <f t="shared" si="1"/>
        <v>n42122290</v>
      </c>
      <c r="D54" s="2" t="s">
        <v>131</v>
      </c>
      <c r="E54" t="s">
        <v>170</v>
      </c>
      <c r="F54" t="s">
        <v>165</v>
      </c>
    </row>
    <row r="55" spans="1:6">
      <c r="A55" s="2">
        <v>4212222</v>
      </c>
      <c r="B55" t="str">
        <f t="shared" si="0"/>
        <v>42122220</v>
      </c>
      <c r="C55" t="str">
        <f t="shared" si="1"/>
        <v>n42122220</v>
      </c>
      <c r="D55" s="2" t="s">
        <v>132</v>
      </c>
      <c r="E55" t="s">
        <v>170</v>
      </c>
      <c r="F55" t="s">
        <v>165</v>
      </c>
    </row>
    <row r="56" spans="1:6">
      <c r="A56" s="2">
        <v>422119</v>
      </c>
      <c r="B56" t="str">
        <f t="shared" si="0"/>
        <v>42211900</v>
      </c>
      <c r="C56" t="str">
        <f t="shared" si="1"/>
        <v>n42211900</v>
      </c>
      <c r="D56" s="2" t="s">
        <v>133</v>
      </c>
      <c r="E56" t="s">
        <v>170</v>
      </c>
      <c r="F56" t="s">
        <v>164</v>
      </c>
    </row>
    <row r="57" spans="1:6">
      <c r="A57" s="2">
        <v>422112</v>
      </c>
      <c r="B57" t="str">
        <f t="shared" si="0"/>
        <v>42211200</v>
      </c>
      <c r="C57" t="str">
        <f t="shared" si="1"/>
        <v>n42211200</v>
      </c>
      <c r="D57" s="2" t="s">
        <v>134</v>
      </c>
      <c r="E57" t="s">
        <v>170</v>
      </c>
      <c r="F57" t="s">
        <v>164</v>
      </c>
    </row>
    <row r="58" spans="1:6">
      <c r="A58" s="2">
        <v>422129</v>
      </c>
      <c r="B58" t="str">
        <f t="shared" si="0"/>
        <v>42212900</v>
      </c>
      <c r="C58" t="str">
        <f t="shared" si="1"/>
        <v>n42212900</v>
      </c>
      <c r="D58" s="2" t="s">
        <v>135</v>
      </c>
      <c r="E58" t="s">
        <v>170</v>
      </c>
      <c r="F58" t="s">
        <v>164</v>
      </c>
    </row>
    <row r="59" spans="1:6">
      <c r="A59" s="2">
        <v>422122</v>
      </c>
      <c r="B59" t="str">
        <f t="shared" si="0"/>
        <v>42212200</v>
      </c>
      <c r="C59" t="str">
        <f t="shared" si="1"/>
        <v>n42212200</v>
      </c>
      <c r="D59" s="2" t="s">
        <v>136</v>
      </c>
      <c r="E59" t="s">
        <v>170</v>
      </c>
      <c r="F59" t="s">
        <v>164</v>
      </c>
    </row>
    <row r="60" spans="1:6">
      <c r="A60" s="2">
        <v>4222119</v>
      </c>
      <c r="B60" t="str">
        <f t="shared" si="0"/>
        <v>42221190</v>
      </c>
      <c r="C60" t="str">
        <f t="shared" si="1"/>
        <v>n42221190</v>
      </c>
      <c r="D60" s="2" t="s">
        <v>137</v>
      </c>
      <c r="E60" t="s">
        <v>170</v>
      </c>
      <c r="F60" t="s">
        <v>164</v>
      </c>
    </row>
    <row r="61" spans="1:6">
      <c r="A61" s="2">
        <v>4222112</v>
      </c>
      <c r="B61" t="str">
        <f t="shared" si="0"/>
        <v>42221120</v>
      </c>
      <c r="C61" t="str">
        <f t="shared" si="1"/>
        <v>n42221120</v>
      </c>
      <c r="D61" s="2" t="s">
        <v>138</v>
      </c>
      <c r="E61" t="s">
        <v>170</v>
      </c>
      <c r="F61" t="s">
        <v>164</v>
      </c>
    </row>
    <row r="62" spans="1:6">
      <c r="A62" s="2">
        <v>42221219</v>
      </c>
      <c r="B62" t="str">
        <f t="shared" si="0"/>
        <v>42221219</v>
      </c>
      <c r="C62" t="str">
        <f t="shared" si="1"/>
        <v>n42221219</v>
      </c>
      <c r="D62" s="2" t="s">
        <v>139</v>
      </c>
      <c r="E62" t="s">
        <v>170</v>
      </c>
      <c r="F62" t="s">
        <v>164</v>
      </c>
    </row>
    <row r="63" spans="1:6">
      <c r="A63" s="2">
        <v>42221212</v>
      </c>
      <c r="B63" t="str">
        <f t="shared" si="0"/>
        <v>42221212</v>
      </c>
      <c r="C63" t="str">
        <f t="shared" si="1"/>
        <v>n42221212</v>
      </c>
      <c r="D63" s="2" t="s">
        <v>140</v>
      </c>
      <c r="E63" t="s">
        <v>170</v>
      </c>
      <c r="F63" t="s">
        <v>164</v>
      </c>
    </row>
    <row r="64" spans="1:6">
      <c r="A64" s="2">
        <v>42221229</v>
      </c>
      <c r="B64" t="str">
        <f t="shared" si="0"/>
        <v>42221229</v>
      </c>
      <c r="C64" t="str">
        <f t="shared" si="1"/>
        <v>n42221229</v>
      </c>
      <c r="D64" s="2" t="s">
        <v>141</v>
      </c>
      <c r="E64" t="s">
        <v>170</v>
      </c>
      <c r="F64" t="s">
        <v>164</v>
      </c>
    </row>
    <row r="65" spans="1:6">
      <c r="A65" s="2">
        <v>42221222</v>
      </c>
      <c r="B65" t="str">
        <f t="shared" si="0"/>
        <v>42221222</v>
      </c>
      <c r="C65" t="str">
        <f t="shared" si="1"/>
        <v>n42221222</v>
      </c>
      <c r="D65" s="2" t="s">
        <v>142</v>
      </c>
      <c r="E65" t="s">
        <v>170</v>
      </c>
      <c r="F65" t="s">
        <v>164</v>
      </c>
    </row>
    <row r="66" spans="1:6">
      <c r="A66" s="2">
        <v>422229</v>
      </c>
      <c r="B66" t="str">
        <f t="shared" si="0"/>
        <v>42222900</v>
      </c>
      <c r="C66" t="str">
        <f t="shared" si="1"/>
        <v>n42222900</v>
      </c>
      <c r="D66" s="2" t="s">
        <v>143</v>
      </c>
      <c r="E66" t="s">
        <v>170</v>
      </c>
      <c r="F66" t="s">
        <v>164</v>
      </c>
    </row>
    <row r="67" spans="1:6" s="4" customFormat="1">
      <c r="A67" s="3">
        <v>422222</v>
      </c>
      <c r="B67" s="4" t="str">
        <f t="shared" ref="B67:B82" si="2">A67&amp;REPT("0",8-LEN(A67))</f>
        <v>42222200</v>
      </c>
      <c r="C67" s="4" t="str">
        <f t="shared" ref="C67:C82" si="3">_xlfn.CONCAT("n",B67)</f>
        <v>n42222200</v>
      </c>
      <c r="D67" s="3" t="s">
        <v>144</v>
      </c>
      <c r="E67" s="4" t="s">
        <v>170</v>
      </c>
      <c r="F67" s="4" t="s">
        <v>164</v>
      </c>
    </row>
    <row r="68" spans="1:6">
      <c r="A68" s="2">
        <v>51</v>
      </c>
      <c r="B68" t="str">
        <f t="shared" si="2"/>
        <v>51000000</v>
      </c>
      <c r="C68" t="str">
        <f t="shared" si="3"/>
        <v>n51000000</v>
      </c>
      <c r="D68" s="2" t="s">
        <v>66</v>
      </c>
      <c r="E68" t="s">
        <v>171</v>
      </c>
      <c r="F68" t="s">
        <v>162</v>
      </c>
    </row>
    <row r="69" spans="1:6">
      <c r="A69" s="2">
        <v>5219</v>
      </c>
      <c r="B69" t="str">
        <f t="shared" si="2"/>
        <v>52190000</v>
      </c>
      <c r="C69" t="str">
        <f t="shared" si="3"/>
        <v>n52190000</v>
      </c>
      <c r="D69" s="2" t="s">
        <v>145</v>
      </c>
      <c r="E69" t="s">
        <v>171</v>
      </c>
      <c r="F69" t="s">
        <v>163</v>
      </c>
    </row>
    <row r="70" spans="1:6">
      <c r="A70" s="2">
        <v>5212</v>
      </c>
      <c r="B70" t="str">
        <f t="shared" si="2"/>
        <v>52120000</v>
      </c>
      <c r="C70" t="str">
        <f t="shared" si="3"/>
        <v>n52120000</v>
      </c>
      <c r="D70" s="2" t="s">
        <v>146</v>
      </c>
      <c r="E70" t="s">
        <v>171</v>
      </c>
      <c r="F70" t="s">
        <v>163</v>
      </c>
    </row>
    <row r="71" spans="1:6">
      <c r="A71" s="2">
        <v>5222</v>
      </c>
      <c r="B71" t="str">
        <f t="shared" si="2"/>
        <v>52220000</v>
      </c>
      <c r="C71" t="str">
        <f t="shared" si="3"/>
        <v>n52220000</v>
      </c>
      <c r="D71" s="2" t="s">
        <v>147</v>
      </c>
      <c r="E71" t="s">
        <v>171</v>
      </c>
      <c r="F71" t="s">
        <v>163</v>
      </c>
    </row>
    <row r="72" spans="1:6">
      <c r="A72" s="2">
        <v>5239</v>
      </c>
      <c r="B72" t="str">
        <f t="shared" si="2"/>
        <v>52390000</v>
      </c>
      <c r="C72" t="str">
        <f t="shared" si="3"/>
        <v>n52390000</v>
      </c>
      <c r="D72" s="2" t="s">
        <v>148</v>
      </c>
      <c r="E72" t="s">
        <v>171</v>
      </c>
      <c r="F72" t="s">
        <v>163</v>
      </c>
    </row>
    <row r="73" spans="1:6">
      <c r="A73" s="2">
        <v>5232</v>
      </c>
      <c r="B73" t="str">
        <f t="shared" si="2"/>
        <v>52320000</v>
      </c>
      <c r="C73" t="str">
        <f t="shared" si="3"/>
        <v>n52320000</v>
      </c>
      <c r="D73" s="2" t="s">
        <v>149</v>
      </c>
      <c r="E73" t="s">
        <v>171</v>
      </c>
      <c r="F73" t="s">
        <v>163</v>
      </c>
    </row>
    <row r="74" spans="1:6">
      <c r="A74" s="2">
        <v>539</v>
      </c>
      <c r="B74" t="str">
        <f t="shared" si="2"/>
        <v>53900000</v>
      </c>
      <c r="C74" t="str">
        <f t="shared" si="3"/>
        <v>n53900000</v>
      </c>
      <c r="D74" s="2" t="s">
        <v>150</v>
      </c>
      <c r="E74" t="s">
        <v>171</v>
      </c>
      <c r="F74" t="s">
        <v>166</v>
      </c>
    </row>
    <row r="75" spans="1:6" s="4" customFormat="1">
      <c r="A75" s="3">
        <v>532</v>
      </c>
      <c r="B75" s="4" t="str">
        <f t="shared" si="2"/>
        <v>53200000</v>
      </c>
      <c r="C75" s="4" t="str">
        <f t="shared" si="3"/>
        <v>n53200000</v>
      </c>
      <c r="D75" s="3" t="s">
        <v>151</v>
      </c>
      <c r="E75" s="4" t="s">
        <v>171</v>
      </c>
      <c r="F75" s="4" t="s">
        <v>166</v>
      </c>
    </row>
    <row r="76" spans="1:6">
      <c r="A76" s="2">
        <v>61</v>
      </c>
      <c r="B76" t="str">
        <f t="shared" si="2"/>
        <v>61000000</v>
      </c>
      <c r="C76" t="str">
        <f t="shared" si="3"/>
        <v>n61000000</v>
      </c>
      <c r="D76" s="2" t="s">
        <v>152</v>
      </c>
      <c r="E76" t="s">
        <v>172</v>
      </c>
      <c r="F76" t="s">
        <v>167</v>
      </c>
    </row>
    <row r="77" spans="1:6">
      <c r="A77" s="2">
        <v>6212</v>
      </c>
      <c r="B77" t="str">
        <f t="shared" si="2"/>
        <v>62120000</v>
      </c>
      <c r="C77" t="str">
        <f t="shared" si="3"/>
        <v>n62120000</v>
      </c>
      <c r="D77" s="2" t="s">
        <v>153</v>
      </c>
      <c r="E77" t="s">
        <v>172</v>
      </c>
      <c r="F77" t="s">
        <v>168</v>
      </c>
    </row>
    <row r="78" spans="1:6">
      <c r="A78" s="2">
        <v>6229</v>
      </c>
      <c r="B78" t="str">
        <f t="shared" si="2"/>
        <v>62290000</v>
      </c>
      <c r="C78" t="str">
        <f t="shared" si="3"/>
        <v>n62290000</v>
      </c>
      <c r="D78" s="2" t="s">
        <v>154</v>
      </c>
      <c r="E78" t="s">
        <v>172</v>
      </c>
      <c r="F78" t="s">
        <v>168</v>
      </c>
    </row>
    <row r="79" spans="1:6">
      <c r="A79" s="2">
        <v>6222</v>
      </c>
      <c r="B79" t="str">
        <f t="shared" si="2"/>
        <v>62220000</v>
      </c>
      <c r="C79" t="str">
        <f t="shared" si="3"/>
        <v>n62220000</v>
      </c>
      <c r="D79" s="2" t="s">
        <v>155</v>
      </c>
      <c r="E79" t="s">
        <v>172</v>
      </c>
      <c r="F79" t="s">
        <v>168</v>
      </c>
    </row>
    <row r="80" spans="1:6">
      <c r="A80" s="2">
        <v>639</v>
      </c>
      <c r="B80" t="str">
        <f t="shared" si="2"/>
        <v>63900000</v>
      </c>
      <c r="C80" t="str">
        <f t="shared" si="3"/>
        <v>n63900000</v>
      </c>
      <c r="D80" s="2" t="s">
        <v>156</v>
      </c>
      <c r="E80" t="s">
        <v>172</v>
      </c>
      <c r="F80" t="s">
        <v>169</v>
      </c>
    </row>
    <row r="81" spans="1:6" s="4" customFormat="1">
      <c r="A81" s="3">
        <v>632</v>
      </c>
      <c r="B81" s="4" t="str">
        <f t="shared" si="2"/>
        <v>63200000</v>
      </c>
      <c r="C81" s="4" t="str">
        <f t="shared" si="3"/>
        <v>n63200000</v>
      </c>
      <c r="D81" s="3" t="s">
        <v>157</v>
      </c>
      <c r="E81" s="4" t="s">
        <v>172</v>
      </c>
      <c r="F81" s="4" t="s">
        <v>169</v>
      </c>
    </row>
    <row r="82" spans="1:6">
      <c r="A82" s="2">
        <v>7</v>
      </c>
      <c r="B82" t="str">
        <f t="shared" si="2"/>
        <v>70000000</v>
      </c>
      <c r="C82" t="str">
        <f t="shared" si="3"/>
        <v>n70000000</v>
      </c>
      <c r="D82" s="2" t="s">
        <v>173</v>
      </c>
      <c r="E82" t="s">
        <v>174</v>
      </c>
      <c r="F82" t="s">
        <v>174</v>
      </c>
    </row>
  </sheetData>
  <autoFilter ref="A1:F1" xr:uid="{853D7656-B308-4E3A-9467-98AD8F1F4D68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7656-B308-4E3A-9467-98AD8F1F4D68}">
  <dimension ref="A1:F82"/>
  <sheetViews>
    <sheetView workbookViewId="0">
      <selection activeCell="E2" sqref="E2:F5"/>
    </sheetView>
  </sheetViews>
  <sheetFormatPr defaultRowHeight="14.5"/>
  <cols>
    <col min="1" max="1" width="23.54296875" bestFit="1" customWidth="1"/>
    <col min="2" max="2" width="13.6328125" bestFit="1" customWidth="1"/>
    <col min="3" max="3" width="24.81640625" bestFit="1" customWidth="1"/>
    <col min="4" max="4" width="132.26953125" bestFit="1" customWidth="1"/>
    <col min="5" max="5" width="15.08984375" bestFit="1" customWidth="1"/>
    <col min="6" max="6" width="30.54296875" bestFit="1" customWidth="1"/>
  </cols>
  <sheetData>
    <row r="1" spans="1:6">
      <c r="A1" s="1" t="s">
        <v>78</v>
      </c>
      <c r="B1" s="1" t="s">
        <v>76</v>
      </c>
      <c r="C1" s="1" t="s">
        <v>77</v>
      </c>
      <c r="D1" s="1" t="s">
        <v>0</v>
      </c>
      <c r="E1" s="1" t="s">
        <v>158</v>
      </c>
      <c r="F1" s="1" t="s">
        <v>159</v>
      </c>
    </row>
    <row r="2" spans="1:6">
      <c r="A2" s="2">
        <v>211</v>
      </c>
      <c r="B2" t="str">
        <f>A2&amp;REPT("0",8-LEN(A2))</f>
        <v>21100000</v>
      </c>
      <c r="C2" t="str">
        <f>_xlfn.CONCAT("n",B2)</f>
        <v>n21100000</v>
      </c>
      <c r="D2" s="2" t="s">
        <v>79</v>
      </c>
      <c r="E2" t="s">
        <v>170</v>
      </c>
      <c r="F2" t="s">
        <v>160</v>
      </c>
    </row>
    <row r="3" spans="1:6">
      <c r="A3" s="2">
        <v>212</v>
      </c>
      <c r="B3" t="str">
        <f t="shared" ref="B3:B62" si="0">A3&amp;REPT("0",8-LEN(A3))</f>
        <v>21200000</v>
      </c>
      <c r="C3" t="str">
        <f t="shared" ref="C3:C62" si="1">_xlfn.CONCAT("n",B3)</f>
        <v>n21200000</v>
      </c>
      <c r="D3" s="2" t="s">
        <v>80</v>
      </c>
      <c r="E3" t="s">
        <v>170</v>
      </c>
      <c r="F3" t="s">
        <v>160</v>
      </c>
    </row>
    <row r="4" spans="1:6">
      <c r="A4" s="2">
        <v>221</v>
      </c>
      <c r="B4" t="str">
        <f t="shared" si="0"/>
        <v>22100000</v>
      </c>
      <c r="C4" t="str">
        <f t="shared" si="1"/>
        <v>n22100000</v>
      </c>
      <c r="D4" s="2" t="s">
        <v>81</v>
      </c>
      <c r="E4" t="s">
        <v>170</v>
      </c>
      <c r="F4" t="s">
        <v>160</v>
      </c>
    </row>
    <row r="5" spans="1:6" s="4" customFormat="1">
      <c r="A5" s="3">
        <v>222</v>
      </c>
      <c r="B5" s="4" t="str">
        <f t="shared" si="0"/>
        <v>22200000</v>
      </c>
      <c r="C5" s="4" t="str">
        <f t="shared" si="1"/>
        <v>n22200000</v>
      </c>
      <c r="D5" s="3" t="s">
        <v>82</v>
      </c>
      <c r="E5" s="4" t="s">
        <v>170</v>
      </c>
      <c r="F5" s="4" t="s">
        <v>160</v>
      </c>
    </row>
    <row r="6" spans="1:6">
      <c r="A6" s="2">
        <v>3119</v>
      </c>
      <c r="B6" t="str">
        <f t="shared" si="0"/>
        <v>31190000</v>
      </c>
      <c r="C6" t="str">
        <f t="shared" si="1"/>
        <v>n31190000</v>
      </c>
      <c r="D6" s="2" t="s">
        <v>83</v>
      </c>
      <c r="E6" t="s">
        <v>170</v>
      </c>
      <c r="F6" t="s">
        <v>161</v>
      </c>
    </row>
    <row r="7" spans="1:6">
      <c r="A7" s="2">
        <v>3112</v>
      </c>
      <c r="B7" t="str">
        <f t="shared" si="0"/>
        <v>31120000</v>
      </c>
      <c r="C7" t="str">
        <f t="shared" si="1"/>
        <v>n31120000</v>
      </c>
      <c r="D7" s="2" t="s">
        <v>84</v>
      </c>
      <c r="E7" t="s">
        <v>170</v>
      </c>
      <c r="F7" t="s">
        <v>161</v>
      </c>
    </row>
    <row r="8" spans="1:6">
      <c r="A8" s="2">
        <v>312119</v>
      </c>
      <c r="B8" t="str">
        <f t="shared" si="0"/>
        <v>31211900</v>
      </c>
      <c r="C8" t="str">
        <f t="shared" si="1"/>
        <v>n31211900</v>
      </c>
      <c r="D8" s="2" t="s">
        <v>85</v>
      </c>
      <c r="E8" t="s">
        <v>170</v>
      </c>
      <c r="F8" t="s">
        <v>161</v>
      </c>
    </row>
    <row r="9" spans="1:6">
      <c r="A9" s="2">
        <v>312112</v>
      </c>
      <c r="B9" t="str">
        <f t="shared" si="0"/>
        <v>31211200</v>
      </c>
      <c r="C9" t="str">
        <f t="shared" si="1"/>
        <v>n31211200</v>
      </c>
      <c r="D9" s="2" t="s">
        <v>86</v>
      </c>
      <c r="E9" t="s">
        <v>170</v>
      </c>
      <c r="F9" t="s">
        <v>161</v>
      </c>
    </row>
    <row r="10" spans="1:6">
      <c r="A10" s="2">
        <v>312129</v>
      </c>
      <c r="B10" t="str">
        <f t="shared" si="0"/>
        <v>31212900</v>
      </c>
      <c r="C10" t="str">
        <f t="shared" si="1"/>
        <v>n31212900</v>
      </c>
      <c r="D10" s="2" t="s">
        <v>87</v>
      </c>
      <c r="E10" t="s">
        <v>170</v>
      </c>
      <c r="F10" t="s">
        <v>161</v>
      </c>
    </row>
    <row r="11" spans="1:6">
      <c r="A11" s="2">
        <v>312122</v>
      </c>
      <c r="B11" t="str">
        <f t="shared" si="0"/>
        <v>31212200</v>
      </c>
      <c r="C11" t="str">
        <f t="shared" si="1"/>
        <v>n31212200</v>
      </c>
      <c r="D11" s="2" t="s">
        <v>88</v>
      </c>
      <c r="E11" t="s">
        <v>170</v>
      </c>
      <c r="F11" t="s">
        <v>161</v>
      </c>
    </row>
    <row r="12" spans="1:6">
      <c r="A12" s="2">
        <v>312219</v>
      </c>
      <c r="B12" t="str">
        <f t="shared" si="0"/>
        <v>31221900</v>
      </c>
      <c r="C12" t="str">
        <f t="shared" si="1"/>
        <v>n31221900</v>
      </c>
      <c r="D12" s="2" t="s">
        <v>89</v>
      </c>
      <c r="E12" t="s">
        <v>170</v>
      </c>
      <c r="F12" t="s">
        <v>161</v>
      </c>
    </row>
    <row r="13" spans="1:6">
      <c r="A13" s="2">
        <v>312212</v>
      </c>
      <c r="B13" t="str">
        <f t="shared" si="0"/>
        <v>31221200</v>
      </c>
      <c r="C13" t="str">
        <f t="shared" si="1"/>
        <v>n31221200</v>
      </c>
      <c r="D13" s="2" t="s">
        <v>90</v>
      </c>
      <c r="E13" t="s">
        <v>170</v>
      </c>
      <c r="F13" t="s">
        <v>161</v>
      </c>
    </row>
    <row r="14" spans="1:6">
      <c r="A14" s="2">
        <v>312229</v>
      </c>
      <c r="B14" t="str">
        <f t="shared" si="0"/>
        <v>31222900</v>
      </c>
      <c r="C14" t="str">
        <f t="shared" si="1"/>
        <v>n31222900</v>
      </c>
      <c r="D14" s="2" t="s">
        <v>91</v>
      </c>
      <c r="E14" t="s">
        <v>170</v>
      </c>
      <c r="F14" t="s">
        <v>161</v>
      </c>
    </row>
    <row r="15" spans="1:6">
      <c r="A15" s="2">
        <v>312222</v>
      </c>
      <c r="B15" t="str">
        <f t="shared" si="0"/>
        <v>31222200</v>
      </c>
      <c r="C15" t="str">
        <f t="shared" si="1"/>
        <v>n31222200</v>
      </c>
      <c r="D15" s="2" t="s">
        <v>92</v>
      </c>
      <c r="E15" t="s">
        <v>170</v>
      </c>
      <c r="F15" t="s">
        <v>161</v>
      </c>
    </row>
    <row r="16" spans="1:6">
      <c r="A16" s="2">
        <v>312319</v>
      </c>
      <c r="B16" t="str">
        <f t="shared" si="0"/>
        <v>31231900</v>
      </c>
      <c r="C16" t="str">
        <f t="shared" si="1"/>
        <v>n31231900</v>
      </c>
      <c r="D16" s="2" t="s">
        <v>93</v>
      </c>
      <c r="E16" t="s">
        <v>170</v>
      </c>
      <c r="F16" t="s">
        <v>161</v>
      </c>
    </row>
    <row r="17" spans="1:6">
      <c r="A17" s="2">
        <v>312312</v>
      </c>
      <c r="B17" t="str">
        <f t="shared" si="0"/>
        <v>31231200</v>
      </c>
      <c r="C17" t="str">
        <f t="shared" si="1"/>
        <v>n31231200</v>
      </c>
      <c r="D17" s="2" t="s">
        <v>94</v>
      </c>
      <c r="E17" t="s">
        <v>170</v>
      </c>
      <c r="F17" t="s">
        <v>161</v>
      </c>
    </row>
    <row r="18" spans="1:6">
      <c r="A18" s="2">
        <v>312329</v>
      </c>
      <c r="B18" t="str">
        <f t="shared" si="0"/>
        <v>31232900</v>
      </c>
      <c r="C18" t="str">
        <f t="shared" si="1"/>
        <v>n31232900</v>
      </c>
      <c r="D18" s="2" t="s">
        <v>95</v>
      </c>
      <c r="E18" t="s">
        <v>170</v>
      </c>
      <c r="F18" t="s">
        <v>161</v>
      </c>
    </row>
    <row r="19" spans="1:6">
      <c r="A19" s="2">
        <v>312322</v>
      </c>
      <c r="B19" t="str">
        <f t="shared" si="0"/>
        <v>31232200</v>
      </c>
      <c r="C19" t="str">
        <f t="shared" si="1"/>
        <v>n31232200</v>
      </c>
      <c r="D19" s="2" t="s">
        <v>96</v>
      </c>
      <c r="E19" t="s">
        <v>170</v>
      </c>
      <c r="F19" t="s">
        <v>161</v>
      </c>
    </row>
    <row r="20" spans="1:6">
      <c r="A20" s="2">
        <v>312412</v>
      </c>
      <c r="B20" t="str">
        <f t="shared" si="0"/>
        <v>31241200</v>
      </c>
      <c r="C20" t="str">
        <f t="shared" si="1"/>
        <v>n31241200</v>
      </c>
      <c r="D20" s="2" t="s">
        <v>97</v>
      </c>
      <c r="E20" t="s">
        <v>170</v>
      </c>
      <c r="F20" t="s">
        <v>161</v>
      </c>
    </row>
    <row r="21" spans="1:6">
      <c r="A21" s="2">
        <v>312422</v>
      </c>
      <c r="B21" t="str">
        <f t="shared" si="0"/>
        <v>31242200</v>
      </c>
      <c r="C21" t="str">
        <f t="shared" si="1"/>
        <v>n31242200</v>
      </c>
      <c r="D21" s="2" t="s">
        <v>98</v>
      </c>
      <c r="E21" t="s">
        <v>170</v>
      </c>
      <c r="F21" t="s">
        <v>161</v>
      </c>
    </row>
    <row r="22" spans="1:6">
      <c r="A22" s="2">
        <v>32119</v>
      </c>
      <c r="B22" t="str">
        <f t="shared" si="0"/>
        <v>32119000</v>
      </c>
      <c r="C22" t="str">
        <f t="shared" si="1"/>
        <v>n32119000</v>
      </c>
      <c r="D22" s="2" t="s">
        <v>99</v>
      </c>
      <c r="E22" t="s">
        <v>170</v>
      </c>
      <c r="F22" t="s">
        <v>161</v>
      </c>
    </row>
    <row r="23" spans="1:6">
      <c r="A23" s="2">
        <v>32112</v>
      </c>
      <c r="B23" t="str">
        <f t="shared" si="0"/>
        <v>32112000</v>
      </c>
      <c r="C23" t="str">
        <f t="shared" si="1"/>
        <v>n32112000</v>
      </c>
      <c r="D23" s="2" t="s">
        <v>100</v>
      </c>
      <c r="E23" t="s">
        <v>170</v>
      </c>
      <c r="F23" t="s">
        <v>161</v>
      </c>
    </row>
    <row r="24" spans="1:6">
      <c r="A24" s="2">
        <v>321219</v>
      </c>
      <c r="B24" t="str">
        <f t="shared" si="0"/>
        <v>32121900</v>
      </c>
      <c r="C24" t="str">
        <f t="shared" si="1"/>
        <v>n32121900</v>
      </c>
      <c r="D24" s="2" t="s">
        <v>101</v>
      </c>
      <c r="E24" t="s">
        <v>170</v>
      </c>
      <c r="F24" t="s">
        <v>161</v>
      </c>
    </row>
    <row r="25" spans="1:6">
      <c r="A25" s="2">
        <v>321212</v>
      </c>
      <c r="B25" t="str">
        <f t="shared" si="0"/>
        <v>32121200</v>
      </c>
      <c r="C25" t="str">
        <f t="shared" si="1"/>
        <v>n32121200</v>
      </c>
      <c r="D25" s="2" t="s">
        <v>102</v>
      </c>
      <c r="E25" t="s">
        <v>170</v>
      </c>
      <c r="F25" t="s">
        <v>161</v>
      </c>
    </row>
    <row r="26" spans="1:6">
      <c r="A26" s="2">
        <v>321229</v>
      </c>
      <c r="B26" t="str">
        <f t="shared" si="0"/>
        <v>32122900</v>
      </c>
      <c r="C26" t="str">
        <f t="shared" si="1"/>
        <v>n32122900</v>
      </c>
      <c r="D26" s="2" t="s">
        <v>103</v>
      </c>
      <c r="E26" t="s">
        <v>170</v>
      </c>
      <c r="F26" t="s">
        <v>161</v>
      </c>
    </row>
    <row r="27" spans="1:6">
      <c r="A27" s="2">
        <v>321222</v>
      </c>
      <c r="B27" t="str">
        <f t="shared" si="0"/>
        <v>32122200</v>
      </c>
      <c r="C27" t="str">
        <f t="shared" si="1"/>
        <v>n32122200</v>
      </c>
      <c r="D27" s="2" t="s">
        <v>104</v>
      </c>
      <c r="E27" t="s">
        <v>170</v>
      </c>
      <c r="F27" t="s">
        <v>161</v>
      </c>
    </row>
    <row r="28" spans="1:6">
      <c r="A28" s="2">
        <v>32139</v>
      </c>
      <c r="B28" t="str">
        <f t="shared" si="0"/>
        <v>32139000</v>
      </c>
      <c r="C28" t="str">
        <f t="shared" si="1"/>
        <v>n32139000</v>
      </c>
      <c r="D28" s="2" t="s">
        <v>105</v>
      </c>
      <c r="E28" t="s">
        <v>170</v>
      </c>
      <c r="F28" t="s">
        <v>161</v>
      </c>
    </row>
    <row r="29" spans="1:6">
      <c r="A29" s="2">
        <v>32132</v>
      </c>
      <c r="B29" t="str">
        <f t="shared" si="0"/>
        <v>32132000</v>
      </c>
      <c r="C29" t="str">
        <f t="shared" si="1"/>
        <v>n32132000</v>
      </c>
      <c r="D29" s="2" t="s">
        <v>106</v>
      </c>
      <c r="E29" t="s">
        <v>170</v>
      </c>
      <c r="F29" t="s">
        <v>161</v>
      </c>
    </row>
    <row r="30" spans="1:6">
      <c r="A30" s="2">
        <v>32142</v>
      </c>
      <c r="B30" t="str">
        <f t="shared" si="0"/>
        <v>32142000</v>
      </c>
      <c r="C30" t="str">
        <f t="shared" si="1"/>
        <v>n32142000</v>
      </c>
      <c r="D30" s="2" t="s">
        <v>107</v>
      </c>
      <c r="E30" t="s">
        <v>170</v>
      </c>
      <c r="F30" t="s">
        <v>161</v>
      </c>
    </row>
    <row r="31" spans="1:6">
      <c r="A31" s="2">
        <v>32219</v>
      </c>
      <c r="B31" t="str">
        <f t="shared" si="0"/>
        <v>32219000</v>
      </c>
      <c r="C31" t="str">
        <f t="shared" si="1"/>
        <v>n32219000</v>
      </c>
      <c r="D31" s="2" t="s">
        <v>108</v>
      </c>
      <c r="E31" t="s">
        <v>170</v>
      </c>
      <c r="F31" t="s">
        <v>161</v>
      </c>
    </row>
    <row r="32" spans="1:6">
      <c r="A32" s="2">
        <v>32212</v>
      </c>
      <c r="B32" t="str">
        <f t="shared" si="0"/>
        <v>32212000</v>
      </c>
      <c r="C32" t="str">
        <f t="shared" si="1"/>
        <v>n32212000</v>
      </c>
      <c r="D32" s="2" t="s">
        <v>109</v>
      </c>
      <c r="E32" t="s">
        <v>170</v>
      </c>
      <c r="F32" t="s">
        <v>161</v>
      </c>
    </row>
    <row r="33" spans="1:6">
      <c r="A33" s="2">
        <v>32229</v>
      </c>
      <c r="B33" t="str">
        <f t="shared" si="0"/>
        <v>32229000</v>
      </c>
      <c r="C33" t="str">
        <f t="shared" si="1"/>
        <v>n32229000</v>
      </c>
      <c r="D33" s="2" t="s">
        <v>110</v>
      </c>
      <c r="E33" t="s">
        <v>170</v>
      </c>
      <c r="F33" t="s">
        <v>161</v>
      </c>
    </row>
    <row r="34" spans="1:6">
      <c r="A34" s="2">
        <v>32222</v>
      </c>
      <c r="B34" t="str">
        <f t="shared" si="0"/>
        <v>32222000</v>
      </c>
      <c r="C34" t="str">
        <f t="shared" si="1"/>
        <v>n32222000</v>
      </c>
      <c r="D34" s="2" t="s">
        <v>111</v>
      </c>
      <c r="E34" t="s">
        <v>170</v>
      </c>
      <c r="F34" t="s">
        <v>161</v>
      </c>
    </row>
    <row r="35" spans="1:6">
      <c r="A35" s="2">
        <v>32239</v>
      </c>
      <c r="B35" t="str">
        <f t="shared" si="0"/>
        <v>32239000</v>
      </c>
      <c r="C35" t="str">
        <f t="shared" si="1"/>
        <v>n32239000</v>
      </c>
      <c r="D35" s="2" t="s">
        <v>112</v>
      </c>
      <c r="E35" t="s">
        <v>170</v>
      </c>
      <c r="F35" t="s">
        <v>161</v>
      </c>
    </row>
    <row r="36" spans="1:6">
      <c r="A36" s="2">
        <v>32232</v>
      </c>
      <c r="B36" t="str">
        <f t="shared" si="0"/>
        <v>32232000</v>
      </c>
      <c r="C36" t="str">
        <f t="shared" si="1"/>
        <v>n32232000</v>
      </c>
      <c r="D36" s="2" t="s">
        <v>113</v>
      </c>
      <c r="E36" t="s">
        <v>170</v>
      </c>
      <c r="F36" t="s">
        <v>161</v>
      </c>
    </row>
    <row r="37" spans="1:6" s="4" customFormat="1">
      <c r="A37" s="3">
        <v>32242</v>
      </c>
      <c r="B37" s="4" t="str">
        <f t="shared" si="0"/>
        <v>32242000</v>
      </c>
      <c r="C37" s="4" t="str">
        <f t="shared" si="1"/>
        <v>n32242000</v>
      </c>
      <c r="D37" s="3" t="s">
        <v>114</v>
      </c>
      <c r="E37" s="4" t="s">
        <v>170</v>
      </c>
      <c r="F37" s="4" t="s">
        <v>161</v>
      </c>
    </row>
    <row r="38" spans="1:6">
      <c r="A38" s="2">
        <v>419</v>
      </c>
      <c r="B38" t="str">
        <f t="shared" si="0"/>
        <v>41900000</v>
      </c>
      <c r="C38" t="str">
        <f t="shared" si="1"/>
        <v>n41900000</v>
      </c>
      <c r="D38" s="2" t="s">
        <v>115</v>
      </c>
      <c r="E38" t="s">
        <v>170</v>
      </c>
      <c r="F38" t="s">
        <v>161</v>
      </c>
    </row>
    <row r="39" spans="1:6">
      <c r="A39" s="2">
        <v>412</v>
      </c>
      <c r="B39" t="str">
        <f t="shared" si="0"/>
        <v>41200000</v>
      </c>
      <c r="C39" t="str">
        <f t="shared" si="1"/>
        <v>n41200000</v>
      </c>
      <c r="D39" s="2" t="s">
        <v>116</v>
      </c>
      <c r="E39" t="s">
        <v>170</v>
      </c>
      <c r="F39" t="s">
        <v>161</v>
      </c>
    </row>
    <row r="40" spans="1:6">
      <c r="A40" s="2">
        <v>4211119</v>
      </c>
      <c r="B40" t="str">
        <f t="shared" si="0"/>
        <v>42111190</v>
      </c>
      <c r="C40" t="str">
        <f t="shared" si="1"/>
        <v>n42111190</v>
      </c>
      <c r="D40" s="2" t="s">
        <v>117</v>
      </c>
      <c r="E40" t="s">
        <v>170</v>
      </c>
      <c r="F40" t="s">
        <v>165</v>
      </c>
    </row>
    <row r="41" spans="1:6">
      <c r="A41" s="2">
        <v>4211112</v>
      </c>
      <c r="B41" t="str">
        <f t="shared" si="0"/>
        <v>42111120</v>
      </c>
      <c r="C41" t="str">
        <f t="shared" si="1"/>
        <v>n42111120</v>
      </c>
      <c r="D41" s="2" t="s">
        <v>118</v>
      </c>
      <c r="E41" t="s">
        <v>170</v>
      </c>
      <c r="F41" t="s">
        <v>165</v>
      </c>
    </row>
    <row r="42" spans="1:6">
      <c r="A42" s="2">
        <v>4211129</v>
      </c>
      <c r="B42" t="str">
        <f t="shared" si="0"/>
        <v>42111290</v>
      </c>
      <c r="C42" t="str">
        <f t="shared" si="1"/>
        <v>n42111290</v>
      </c>
      <c r="D42" s="2" t="s">
        <v>119</v>
      </c>
      <c r="E42" t="s">
        <v>170</v>
      </c>
      <c r="F42" t="s">
        <v>165</v>
      </c>
    </row>
    <row r="43" spans="1:6">
      <c r="A43" s="2">
        <v>4211122</v>
      </c>
      <c r="B43" t="str">
        <f t="shared" si="0"/>
        <v>42111220</v>
      </c>
      <c r="C43" t="str">
        <f t="shared" si="1"/>
        <v>n42111220</v>
      </c>
      <c r="D43" s="2" t="s">
        <v>120</v>
      </c>
      <c r="E43" t="s">
        <v>170</v>
      </c>
      <c r="F43" t="s">
        <v>165</v>
      </c>
    </row>
    <row r="44" spans="1:6">
      <c r="A44" s="2">
        <v>4211219</v>
      </c>
      <c r="B44" t="str">
        <f t="shared" si="0"/>
        <v>42112190</v>
      </c>
      <c r="C44" t="str">
        <f t="shared" si="1"/>
        <v>n42112190</v>
      </c>
      <c r="D44" s="2" t="s">
        <v>121</v>
      </c>
      <c r="E44" t="s">
        <v>170</v>
      </c>
      <c r="F44" t="s">
        <v>165</v>
      </c>
    </row>
    <row r="45" spans="1:6">
      <c r="A45" s="2">
        <v>4211212</v>
      </c>
      <c r="B45" t="str">
        <f t="shared" si="0"/>
        <v>42112120</v>
      </c>
      <c r="C45" t="str">
        <f t="shared" si="1"/>
        <v>n42112120</v>
      </c>
      <c r="D45" s="2" t="s">
        <v>122</v>
      </c>
      <c r="E45" t="s">
        <v>170</v>
      </c>
      <c r="F45" t="s">
        <v>165</v>
      </c>
    </row>
    <row r="46" spans="1:6">
      <c r="A46" s="2">
        <v>4211229</v>
      </c>
      <c r="B46" t="str">
        <f t="shared" si="0"/>
        <v>42112290</v>
      </c>
      <c r="C46" t="str">
        <f t="shared" si="1"/>
        <v>n42112290</v>
      </c>
      <c r="D46" s="2" t="s">
        <v>123</v>
      </c>
      <c r="E46" t="s">
        <v>170</v>
      </c>
      <c r="F46" t="s">
        <v>165</v>
      </c>
    </row>
    <row r="47" spans="1:6">
      <c r="A47" s="2">
        <v>4211222</v>
      </c>
      <c r="B47" t="str">
        <f t="shared" si="0"/>
        <v>42112220</v>
      </c>
      <c r="C47" t="str">
        <f t="shared" si="1"/>
        <v>n42112220</v>
      </c>
      <c r="D47" s="2" t="s">
        <v>124</v>
      </c>
      <c r="E47" t="s">
        <v>170</v>
      </c>
      <c r="F47" t="s">
        <v>165</v>
      </c>
    </row>
    <row r="48" spans="1:6">
      <c r="A48" s="2">
        <v>4212119</v>
      </c>
      <c r="B48" t="str">
        <f t="shared" si="0"/>
        <v>42121190</v>
      </c>
      <c r="C48" t="str">
        <f t="shared" si="1"/>
        <v>n42121190</v>
      </c>
      <c r="D48" s="2" t="s">
        <v>125</v>
      </c>
      <c r="E48" t="s">
        <v>170</v>
      </c>
      <c r="F48" t="s">
        <v>165</v>
      </c>
    </row>
    <row r="49" spans="1:6">
      <c r="A49" s="2">
        <v>4212112</v>
      </c>
      <c r="B49" t="str">
        <f t="shared" si="0"/>
        <v>42121120</v>
      </c>
      <c r="C49" t="str">
        <f t="shared" si="1"/>
        <v>n42121120</v>
      </c>
      <c r="D49" s="2" t="s">
        <v>126</v>
      </c>
      <c r="E49" t="s">
        <v>170</v>
      </c>
      <c r="F49" t="s">
        <v>165</v>
      </c>
    </row>
    <row r="50" spans="1:6">
      <c r="A50" s="2">
        <v>4212129</v>
      </c>
      <c r="B50" t="str">
        <f t="shared" si="0"/>
        <v>42121290</v>
      </c>
      <c r="C50" t="str">
        <f t="shared" si="1"/>
        <v>n42121290</v>
      </c>
      <c r="D50" s="2" t="s">
        <v>127</v>
      </c>
      <c r="E50" t="s">
        <v>170</v>
      </c>
      <c r="F50" t="s">
        <v>165</v>
      </c>
    </row>
    <row r="51" spans="1:6">
      <c r="A51" s="2">
        <v>4212122</v>
      </c>
      <c r="B51" t="str">
        <f t="shared" si="0"/>
        <v>42121220</v>
      </c>
      <c r="C51" t="str">
        <f t="shared" si="1"/>
        <v>n42121220</v>
      </c>
      <c r="D51" s="2" t="s">
        <v>128</v>
      </c>
      <c r="E51" t="s">
        <v>170</v>
      </c>
      <c r="F51" t="s">
        <v>165</v>
      </c>
    </row>
    <row r="52" spans="1:6">
      <c r="A52" s="2">
        <v>4212219</v>
      </c>
      <c r="B52" t="str">
        <f t="shared" si="0"/>
        <v>42122190</v>
      </c>
      <c r="C52" t="str">
        <f t="shared" si="1"/>
        <v>n42122190</v>
      </c>
      <c r="D52" s="2" t="s">
        <v>129</v>
      </c>
      <c r="E52" t="s">
        <v>170</v>
      </c>
      <c r="F52" t="s">
        <v>165</v>
      </c>
    </row>
    <row r="53" spans="1:6">
      <c r="A53" s="2">
        <v>4212212</v>
      </c>
      <c r="B53" t="str">
        <f t="shared" si="0"/>
        <v>42122120</v>
      </c>
      <c r="C53" t="str">
        <f t="shared" si="1"/>
        <v>n42122120</v>
      </c>
      <c r="D53" s="2" t="s">
        <v>130</v>
      </c>
      <c r="E53" t="s">
        <v>170</v>
      </c>
      <c r="F53" t="s">
        <v>165</v>
      </c>
    </row>
    <row r="54" spans="1:6">
      <c r="A54" s="2">
        <v>4212229</v>
      </c>
      <c r="B54" t="str">
        <f t="shared" si="0"/>
        <v>42122290</v>
      </c>
      <c r="C54" t="str">
        <f t="shared" si="1"/>
        <v>n42122290</v>
      </c>
      <c r="D54" s="2" t="s">
        <v>131</v>
      </c>
      <c r="E54" t="s">
        <v>170</v>
      </c>
      <c r="F54" t="s">
        <v>165</v>
      </c>
    </row>
    <row r="55" spans="1:6">
      <c r="A55" s="2">
        <v>4212222</v>
      </c>
      <c r="B55" t="str">
        <f t="shared" si="0"/>
        <v>42122220</v>
      </c>
      <c r="C55" t="str">
        <f t="shared" si="1"/>
        <v>n42122220</v>
      </c>
      <c r="D55" s="2" t="s">
        <v>132</v>
      </c>
      <c r="E55" t="s">
        <v>170</v>
      </c>
      <c r="F55" t="s">
        <v>165</v>
      </c>
    </row>
    <row r="56" spans="1:6">
      <c r="A56" s="2">
        <v>422119</v>
      </c>
      <c r="B56" t="str">
        <f t="shared" si="0"/>
        <v>42211900</v>
      </c>
      <c r="C56" t="str">
        <f t="shared" si="1"/>
        <v>n42211900</v>
      </c>
      <c r="D56" s="2" t="s">
        <v>133</v>
      </c>
      <c r="E56" t="s">
        <v>170</v>
      </c>
      <c r="F56" t="s">
        <v>164</v>
      </c>
    </row>
    <row r="57" spans="1:6">
      <c r="A57" s="2">
        <v>422112</v>
      </c>
      <c r="B57" t="str">
        <f t="shared" si="0"/>
        <v>42211200</v>
      </c>
      <c r="C57" t="str">
        <f t="shared" si="1"/>
        <v>n42211200</v>
      </c>
      <c r="D57" s="2" t="s">
        <v>134</v>
      </c>
      <c r="E57" t="s">
        <v>170</v>
      </c>
      <c r="F57" t="s">
        <v>164</v>
      </c>
    </row>
    <row r="58" spans="1:6">
      <c r="A58" s="2">
        <v>422129</v>
      </c>
      <c r="B58" t="str">
        <f t="shared" si="0"/>
        <v>42212900</v>
      </c>
      <c r="C58" t="str">
        <f t="shared" si="1"/>
        <v>n42212900</v>
      </c>
      <c r="D58" s="2" t="s">
        <v>135</v>
      </c>
      <c r="E58" t="s">
        <v>170</v>
      </c>
      <c r="F58" t="s">
        <v>164</v>
      </c>
    </row>
    <row r="59" spans="1:6">
      <c r="A59" s="2">
        <v>422122</v>
      </c>
      <c r="B59" t="str">
        <f t="shared" si="0"/>
        <v>42212200</v>
      </c>
      <c r="C59" t="str">
        <f t="shared" si="1"/>
        <v>n42212200</v>
      </c>
      <c r="D59" s="2" t="s">
        <v>136</v>
      </c>
      <c r="E59" t="s">
        <v>170</v>
      </c>
      <c r="F59" t="s">
        <v>164</v>
      </c>
    </row>
    <row r="60" spans="1:6">
      <c r="A60" s="2">
        <v>4222119</v>
      </c>
      <c r="B60" t="str">
        <f t="shared" si="0"/>
        <v>42221190</v>
      </c>
      <c r="C60" t="str">
        <f t="shared" si="1"/>
        <v>n42221190</v>
      </c>
      <c r="D60" s="2" t="s">
        <v>137</v>
      </c>
      <c r="E60" t="s">
        <v>170</v>
      </c>
      <c r="F60" t="s">
        <v>164</v>
      </c>
    </row>
    <row r="61" spans="1:6">
      <c r="A61" s="2">
        <v>4222112</v>
      </c>
      <c r="B61" t="str">
        <f t="shared" si="0"/>
        <v>42221120</v>
      </c>
      <c r="C61" t="str">
        <f t="shared" si="1"/>
        <v>n42221120</v>
      </c>
      <c r="D61" s="2" t="s">
        <v>138</v>
      </c>
      <c r="E61" t="s">
        <v>170</v>
      </c>
      <c r="F61" t="s">
        <v>164</v>
      </c>
    </row>
    <row r="62" spans="1:6">
      <c r="A62" s="2">
        <v>42221219</v>
      </c>
      <c r="B62" t="str">
        <f t="shared" si="0"/>
        <v>42221219</v>
      </c>
      <c r="C62" t="str">
        <f t="shared" si="1"/>
        <v>n42221219</v>
      </c>
      <c r="D62" s="2" t="s">
        <v>139</v>
      </c>
      <c r="E62" t="s">
        <v>170</v>
      </c>
      <c r="F62" t="s">
        <v>164</v>
      </c>
    </row>
    <row r="63" spans="1:6">
      <c r="A63" s="2">
        <v>42221212</v>
      </c>
      <c r="B63" t="str">
        <f t="shared" ref="B63:B82" si="2">A63&amp;REPT("0",8-LEN(A63))</f>
        <v>42221212</v>
      </c>
      <c r="C63" t="str">
        <f t="shared" ref="C63:C82" si="3">_xlfn.CONCAT("n",B63)</f>
        <v>n42221212</v>
      </c>
      <c r="D63" s="2" t="s">
        <v>140</v>
      </c>
      <c r="E63" t="s">
        <v>170</v>
      </c>
      <c r="F63" t="s">
        <v>164</v>
      </c>
    </row>
    <row r="64" spans="1:6">
      <c r="A64" s="2">
        <v>42221229</v>
      </c>
      <c r="B64" t="str">
        <f t="shared" si="2"/>
        <v>42221229</v>
      </c>
      <c r="C64" t="str">
        <f t="shared" si="3"/>
        <v>n42221229</v>
      </c>
      <c r="D64" s="2" t="s">
        <v>141</v>
      </c>
      <c r="E64" t="s">
        <v>170</v>
      </c>
      <c r="F64" t="s">
        <v>164</v>
      </c>
    </row>
    <row r="65" spans="1:6">
      <c r="A65" s="2">
        <v>42221222</v>
      </c>
      <c r="B65" t="str">
        <f t="shared" si="2"/>
        <v>42221222</v>
      </c>
      <c r="C65" t="str">
        <f t="shared" si="3"/>
        <v>n42221222</v>
      </c>
      <c r="D65" s="2" t="s">
        <v>142</v>
      </c>
      <c r="E65" t="s">
        <v>170</v>
      </c>
      <c r="F65" t="s">
        <v>164</v>
      </c>
    </row>
    <row r="66" spans="1:6">
      <c r="A66" s="2">
        <v>422229</v>
      </c>
      <c r="B66" t="str">
        <f t="shared" si="2"/>
        <v>42222900</v>
      </c>
      <c r="C66" t="str">
        <f t="shared" si="3"/>
        <v>n42222900</v>
      </c>
      <c r="D66" s="2" t="s">
        <v>143</v>
      </c>
      <c r="E66" t="s">
        <v>170</v>
      </c>
      <c r="F66" t="s">
        <v>164</v>
      </c>
    </row>
    <row r="67" spans="1:6" s="4" customFormat="1">
      <c r="A67" s="3">
        <v>422222</v>
      </c>
      <c r="B67" s="4" t="str">
        <f t="shared" si="2"/>
        <v>42222200</v>
      </c>
      <c r="C67" s="4" t="str">
        <f t="shared" si="3"/>
        <v>n42222200</v>
      </c>
      <c r="D67" s="3" t="s">
        <v>144</v>
      </c>
      <c r="E67" s="4" t="s">
        <v>170</v>
      </c>
      <c r="F67" s="4" t="s">
        <v>164</v>
      </c>
    </row>
    <row r="68" spans="1:6">
      <c r="A68" s="2">
        <v>51</v>
      </c>
      <c r="B68" t="str">
        <f t="shared" si="2"/>
        <v>51000000</v>
      </c>
      <c r="C68" t="str">
        <f t="shared" si="3"/>
        <v>n51000000</v>
      </c>
      <c r="D68" s="2" t="s">
        <v>66</v>
      </c>
      <c r="E68" t="s">
        <v>171</v>
      </c>
      <c r="F68" t="s">
        <v>162</v>
      </c>
    </row>
    <row r="69" spans="1:6">
      <c r="A69" s="2">
        <v>5219</v>
      </c>
      <c r="B69" t="str">
        <f t="shared" si="2"/>
        <v>52190000</v>
      </c>
      <c r="C69" t="str">
        <f t="shared" si="3"/>
        <v>n52190000</v>
      </c>
      <c r="D69" s="2" t="s">
        <v>145</v>
      </c>
      <c r="E69" t="s">
        <v>171</v>
      </c>
      <c r="F69" t="s">
        <v>163</v>
      </c>
    </row>
    <row r="70" spans="1:6">
      <c r="A70" s="2">
        <v>5212</v>
      </c>
      <c r="B70" t="str">
        <f t="shared" si="2"/>
        <v>52120000</v>
      </c>
      <c r="C70" t="str">
        <f t="shared" si="3"/>
        <v>n52120000</v>
      </c>
      <c r="D70" s="2" t="s">
        <v>146</v>
      </c>
      <c r="E70" t="s">
        <v>171</v>
      </c>
      <c r="F70" t="s">
        <v>163</v>
      </c>
    </row>
    <row r="71" spans="1:6">
      <c r="A71" s="2">
        <v>5222</v>
      </c>
      <c r="B71" t="str">
        <f t="shared" si="2"/>
        <v>52220000</v>
      </c>
      <c r="C71" t="str">
        <f t="shared" si="3"/>
        <v>n52220000</v>
      </c>
      <c r="D71" s="2" t="s">
        <v>147</v>
      </c>
      <c r="E71" t="s">
        <v>171</v>
      </c>
      <c r="F71" t="s">
        <v>163</v>
      </c>
    </row>
    <row r="72" spans="1:6">
      <c r="A72" s="2">
        <v>5239</v>
      </c>
      <c r="B72" t="str">
        <f t="shared" si="2"/>
        <v>52390000</v>
      </c>
      <c r="C72" t="str">
        <f t="shared" si="3"/>
        <v>n52390000</v>
      </c>
      <c r="D72" s="2" t="s">
        <v>148</v>
      </c>
      <c r="E72" t="s">
        <v>171</v>
      </c>
      <c r="F72" t="s">
        <v>163</v>
      </c>
    </row>
    <row r="73" spans="1:6">
      <c r="A73" s="2">
        <v>5232</v>
      </c>
      <c r="B73" t="str">
        <f t="shared" si="2"/>
        <v>52320000</v>
      </c>
      <c r="C73" t="str">
        <f t="shared" si="3"/>
        <v>n52320000</v>
      </c>
      <c r="D73" s="2" t="s">
        <v>149</v>
      </c>
      <c r="E73" t="s">
        <v>171</v>
      </c>
      <c r="F73" t="s">
        <v>163</v>
      </c>
    </row>
    <row r="74" spans="1:6">
      <c r="A74" s="2">
        <v>539</v>
      </c>
      <c r="B74" t="str">
        <f t="shared" si="2"/>
        <v>53900000</v>
      </c>
      <c r="C74" t="str">
        <f t="shared" si="3"/>
        <v>n53900000</v>
      </c>
      <c r="D74" s="2" t="s">
        <v>150</v>
      </c>
      <c r="E74" t="s">
        <v>171</v>
      </c>
      <c r="F74" t="s">
        <v>166</v>
      </c>
    </row>
    <row r="75" spans="1:6" s="4" customFormat="1">
      <c r="A75" s="3">
        <v>532</v>
      </c>
      <c r="B75" s="4" t="str">
        <f t="shared" si="2"/>
        <v>53200000</v>
      </c>
      <c r="C75" s="4" t="str">
        <f t="shared" si="3"/>
        <v>n53200000</v>
      </c>
      <c r="D75" s="3" t="s">
        <v>151</v>
      </c>
      <c r="E75" s="4" t="s">
        <v>171</v>
      </c>
      <c r="F75" s="4" t="s">
        <v>166</v>
      </c>
    </row>
    <row r="76" spans="1:6">
      <c r="A76" s="2">
        <v>61</v>
      </c>
      <c r="B76" t="str">
        <f t="shared" si="2"/>
        <v>61000000</v>
      </c>
      <c r="C76" t="str">
        <f t="shared" si="3"/>
        <v>n61000000</v>
      </c>
      <c r="D76" s="2" t="s">
        <v>152</v>
      </c>
      <c r="E76" t="s">
        <v>172</v>
      </c>
      <c r="F76" t="s">
        <v>167</v>
      </c>
    </row>
    <row r="77" spans="1:6">
      <c r="A77" s="2">
        <v>6212</v>
      </c>
      <c r="B77" t="str">
        <f t="shared" si="2"/>
        <v>62120000</v>
      </c>
      <c r="C77" t="str">
        <f t="shared" si="3"/>
        <v>n62120000</v>
      </c>
      <c r="D77" s="2" t="s">
        <v>153</v>
      </c>
      <c r="E77" t="s">
        <v>172</v>
      </c>
      <c r="F77" t="s">
        <v>168</v>
      </c>
    </row>
    <row r="78" spans="1:6">
      <c r="A78" s="2">
        <v>6229</v>
      </c>
      <c r="B78" t="str">
        <f t="shared" si="2"/>
        <v>62290000</v>
      </c>
      <c r="C78" t="str">
        <f t="shared" si="3"/>
        <v>n62290000</v>
      </c>
      <c r="D78" s="2" t="s">
        <v>154</v>
      </c>
      <c r="E78" t="s">
        <v>172</v>
      </c>
      <c r="F78" t="s">
        <v>168</v>
      </c>
    </row>
    <row r="79" spans="1:6">
      <c r="A79" s="2">
        <v>6222</v>
      </c>
      <c r="B79" t="str">
        <f t="shared" si="2"/>
        <v>62220000</v>
      </c>
      <c r="C79" t="str">
        <f t="shared" si="3"/>
        <v>n62220000</v>
      </c>
      <c r="D79" s="2" t="s">
        <v>155</v>
      </c>
      <c r="E79" t="s">
        <v>172</v>
      </c>
      <c r="F79" t="s">
        <v>168</v>
      </c>
    </row>
    <row r="80" spans="1:6">
      <c r="A80" s="2">
        <v>639</v>
      </c>
      <c r="B80" t="str">
        <f t="shared" si="2"/>
        <v>63900000</v>
      </c>
      <c r="C80" t="str">
        <f t="shared" si="3"/>
        <v>n63900000</v>
      </c>
      <c r="D80" s="2" t="s">
        <v>156</v>
      </c>
      <c r="E80" t="s">
        <v>172</v>
      </c>
      <c r="F80" t="s">
        <v>169</v>
      </c>
    </row>
    <row r="81" spans="1:6" s="4" customFormat="1">
      <c r="A81" s="3">
        <v>632</v>
      </c>
      <c r="B81" s="4" t="str">
        <f t="shared" si="2"/>
        <v>63200000</v>
      </c>
      <c r="C81" s="4" t="str">
        <f t="shared" si="3"/>
        <v>n63200000</v>
      </c>
      <c r="D81" s="3" t="s">
        <v>157</v>
      </c>
      <c r="E81" s="4" t="s">
        <v>172</v>
      </c>
      <c r="F81" s="4" t="s">
        <v>169</v>
      </c>
    </row>
    <row r="82" spans="1:6">
      <c r="A82" s="2">
        <v>7</v>
      </c>
      <c r="B82" t="str">
        <f t="shared" si="2"/>
        <v>70000000</v>
      </c>
      <c r="C82" t="str">
        <f t="shared" si="3"/>
        <v>n70000000</v>
      </c>
      <c r="D82" s="2" t="s">
        <v>173</v>
      </c>
      <c r="E82" t="s">
        <v>174</v>
      </c>
      <c r="F82" t="s">
        <v>174</v>
      </c>
    </row>
  </sheetData>
  <autoFilter ref="A1:F1" xr:uid="{853D7656-B308-4E3A-9467-98AD8F1F4D68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BB84B-4BF3-4978-BFCA-0C4F8A30C442}">
  <dimension ref="A1:G96"/>
  <sheetViews>
    <sheetView topLeftCell="A62" workbookViewId="0">
      <selection activeCell="D53" sqref="D53"/>
    </sheetView>
  </sheetViews>
  <sheetFormatPr defaultRowHeight="14.5"/>
  <cols>
    <col min="1" max="1" width="23.54296875" bestFit="1" customWidth="1"/>
    <col min="2" max="2" width="13.6328125" bestFit="1" customWidth="1"/>
    <col min="3" max="3" width="24.81640625" bestFit="1" customWidth="1"/>
    <col min="4" max="4" width="125.54296875" customWidth="1"/>
    <col min="5" max="5" width="15.08984375" bestFit="1" customWidth="1"/>
    <col min="6" max="6" width="30.54296875" bestFit="1" customWidth="1"/>
    <col min="7" max="7" width="14.81640625" bestFit="1" customWidth="1"/>
  </cols>
  <sheetData>
    <row r="1" spans="1:7">
      <c r="A1" s="1" t="s">
        <v>193</v>
      </c>
      <c r="B1" s="1" t="s">
        <v>194</v>
      </c>
      <c r="C1" s="1" t="s">
        <v>77</v>
      </c>
      <c r="D1" s="1" t="s">
        <v>190</v>
      </c>
      <c r="E1" s="1" t="s">
        <v>191</v>
      </c>
      <c r="F1" s="1" t="s">
        <v>192</v>
      </c>
      <c r="G1" s="1" t="s">
        <v>195</v>
      </c>
    </row>
    <row r="2" spans="1:7">
      <c r="A2" s="2">
        <v>111</v>
      </c>
      <c r="B2" t="str">
        <f t="shared" ref="B2:B3" si="0">A2&amp;REPT("0",8-LEN(A2))</f>
        <v>11100000</v>
      </c>
      <c r="C2" t="str">
        <f t="shared" ref="C2:C3" si="1">_xlfn.CONCAT("n",B2)</f>
        <v>n11100000</v>
      </c>
      <c r="D2" s="2" t="s">
        <v>188</v>
      </c>
      <c r="E2" t="s">
        <v>170</v>
      </c>
      <c r="F2" t="s">
        <v>161</v>
      </c>
      <c r="G2" t="s">
        <v>196</v>
      </c>
    </row>
    <row r="3" spans="1:7">
      <c r="A3" s="2">
        <v>112</v>
      </c>
      <c r="B3" t="str">
        <f t="shared" si="0"/>
        <v>11200000</v>
      </c>
      <c r="C3" t="str">
        <f t="shared" si="1"/>
        <v>n11200000</v>
      </c>
      <c r="D3" s="2" t="s">
        <v>189</v>
      </c>
      <c r="E3" t="s">
        <v>170</v>
      </c>
      <c r="F3" t="s">
        <v>160</v>
      </c>
      <c r="G3" t="s">
        <v>196</v>
      </c>
    </row>
    <row r="4" spans="1:7">
      <c r="A4" s="2">
        <v>122</v>
      </c>
      <c r="B4" t="str">
        <f>A4&amp;REPT("0",8-LEN(A4))</f>
        <v>12200000</v>
      </c>
      <c r="C4" t="str">
        <f>_xlfn.CONCAT("n",B4)</f>
        <v>n12200000</v>
      </c>
      <c r="D4" s="2" t="s">
        <v>175</v>
      </c>
      <c r="E4" t="s">
        <v>170</v>
      </c>
      <c r="F4" t="s">
        <v>161</v>
      </c>
      <c r="G4" t="s">
        <v>196</v>
      </c>
    </row>
    <row r="5" spans="1:7">
      <c r="A5" s="2">
        <v>123</v>
      </c>
      <c r="B5" t="str">
        <f t="shared" ref="B5:B68" si="2">A5&amp;REPT("0",8-LEN(A5))</f>
        <v>12300000</v>
      </c>
      <c r="C5" t="str">
        <f t="shared" ref="C5:C68" si="3">_xlfn.CONCAT("n",B5)</f>
        <v>n12300000</v>
      </c>
      <c r="D5" s="2" t="s">
        <v>176</v>
      </c>
      <c r="E5" t="s">
        <v>170</v>
      </c>
      <c r="F5" t="s">
        <v>161</v>
      </c>
      <c r="G5" t="s">
        <v>196</v>
      </c>
    </row>
    <row r="6" spans="1:7">
      <c r="A6" s="2">
        <v>124</v>
      </c>
      <c r="B6" t="str">
        <f t="shared" si="2"/>
        <v>12400000</v>
      </c>
      <c r="C6" t="str">
        <f t="shared" si="3"/>
        <v>n12400000</v>
      </c>
      <c r="D6" s="2" t="s">
        <v>177</v>
      </c>
      <c r="E6" t="s">
        <v>170</v>
      </c>
      <c r="F6" t="s">
        <v>161</v>
      </c>
      <c r="G6" t="s">
        <v>196</v>
      </c>
    </row>
    <row r="7" spans="1:7">
      <c r="A7" s="2">
        <v>125</v>
      </c>
      <c r="B7" t="str">
        <f t="shared" si="2"/>
        <v>12500000</v>
      </c>
      <c r="C7" t="str">
        <f t="shared" si="3"/>
        <v>n12500000</v>
      </c>
      <c r="D7" s="2" t="s">
        <v>178</v>
      </c>
      <c r="E7" t="s">
        <v>170</v>
      </c>
      <c r="F7" t="s">
        <v>161</v>
      </c>
      <c r="G7" t="s">
        <v>196</v>
      </c>
    </row>
    <row r="8" spans="1:7">
      <c r="A8" s="2">
        <v>126</v>
      </c>
      <c r="B8" t="str">
        <f t="shared" si="2"/>
        <v>12600000</v>
      </c>
      <c r="C8" t="str">
        <f t="shared" si="3"/>
        <v>n12600000</v>
      </c>
      <c r="D8" s="2" t="s">
        <v>179</v>
      </c>
      <c r="E8" t="s">
        <v>170</v>
      </c>
      <c r="F8" t="s">
        <v>161</v>
      </c>
      <c r="G8" t="s">
        <v>196</v>
      </c>
    </row>
    <row r="9" spans="1:7">
      <c r="A9" s="2">
        <v>127</v>
      </c>
      <c r="B9" t="str">
        <f t="shared" si="2"/>
        <v>12700000</v>
      </c>
      <c r="C9" t="str">
        <f t="shared" si="3"/>
        <v>n12700000</v>
      </c>
      <c r="D9" s="2" t="s">
        <v>180</v>
      </c>
      <c r="E9" t="s">
        <v>170</v>
      </c>
      <c r="F9" t="s">
        <v>161</v>
      </c>
      <c r="G9" t="s">
        <v>196</v>
      </c>
    </row>
    <row r="10" spans="1:7">
      <c r="A10" s="2">
        <v>121</v>
      </c>
      <c r="B10" t="str">
        <f t="shared" si="2"/>
        <v>12100000</v>
      </c>
      <c r="C10" t="str">
        <f t="shared" si="3"/>
        <v>n12100000</v>
      </c>
      <c r="D10" s="2" t="s">
        <v>181</v>
      </c>
      <c r="E10" t="s">
        <v>170</v>
      </c>
      <c r="F10" t="s">
        <v>161</v>
      </c>
      <c r="G10" t="s">
        <v>196</v>
      </c>
    </row>
    <row r="11" spans="1:7">
      <c r="A11" s="2">
        <v>131</v>
      </c>
      <c r="B11" t="str">
        <f t="shared" si="2"/>
        <v>13100000</v>
      </c>
      <c r="C11" t="str">
        <f t="shared" si="3"/>
        <v>n13100000</v>
      </c>
      <c r="D11" s="2" t="s">
        <v>182</v>
      </c>
      <c r="E11" t="s">
        <v>170</v>
      </c>
      <c r="F11" t="s">
        <v>161</v>
      </c>
      <c r="G11" t="s">
        <v>196</v>
      </c>
    </row>
    <row r="12" spans="1:7">
      <c r="A12" s="2">
        <v>132</v>
      </c>
      <c r="B12" t="str">
        <f t="shared" si="2"/>
        <v>13200000</v>
      </c>
      <c r="C12" t="str">
        <f t="shared" si="3"/>
        <v>n13200000</v>
      </c>
      <c r="D12" s="2" t="s">
        <v>183</v>
      </c>
      <c r="E12" t="s">
        <v>170</v>
      </c>
      <c r="F12" t="s">
        <v>164</v>
      </c>
      <c r="G12" t="s">
        <v>196</v>
      </c>
    </row>
    <row r="13" spans="1:7">
      <c r="A13" s="2">
        <v>100</v>
      </c>
      <c r="B13" t="str">
        <f t="shared" si="2"/>
        <v>10000000</v>
      </c>
      <c r="C13" t="str">
        <f t="shared" si="3"/>
        <v>n10000000</v>
      </c>
      <c r="D13" s="2" t="s">
        <v>184</v>
      </c>
      <c r="E13" t="s">
        <v>170</v>
      </c>
      <c r="F13" t="s">
        <v>187</v>
      </c>
      <c r="G13" t="s">
        <v>196</v>
      </c>
    </row>
    <row r="14" spans="1:7">
      <c r="A14" s="2">
        <v>101</v>
      </c>
      <c r="B14" t="str">
        <f t="shared" si="2"/>
        <v>10100000</v>
      </c>
      <c r="C14" t="str">
        <f t="shared" si="3"/>
        <v>n10100000</v>
      </c>
      <c r="D14" s="2" t="s">
        <v>185</v>
      </c>
      <c r="E14" t="s">
        <v>170</v>
      </c>
      <c r="F14" t="s">
        <v>187</v>
      </c>
      <c r="G14" t="s">
        <v>196</v>
      </c>
    </row>
    <row r="15" spans="1:7" s="4" customFormat="1">
      <c r="A15" s="3">
        <v>102</v>
      </c>
      <c r="B15" s="4" t="str">
        <f t="shared" si="2"/>
        <v>10200000</v>
      </c>
      <c r="C15" s="4" t="str">
        <f t="shared" si="3"/>
        <v>n10200000</v>
      </c>
      <c r="D15" s="3" t="s">
        <v>186</v>
      </c>
      <c r="E15" s="4" t="s">
        <v>170</v>
      </c>
      <c r="F15" s="4" t="s">
        <v>187</v>
      </c>
      <c r="G15" s="4" t="s">
        <v>196</v>
      </c>
    </row>
    <row r="16" spans="1:7">
      <c r="A16" s="2">
        <v>211</v>
      </c>
      <c r="B16" t="str">
        <f t="shared" si="2"/>
        <v>21100000</v>
      </c>
      <c r="C16" t="str">
        <f t="shared" si="3"/>
        <v>n21100000</v>
      </c>
      <c r="D16" s="2" t="s">
        <v>79</v>
      </c>
      <c r="E16" t="s">
        <v>170</v>
      </c>
      <c r="F16" t="s">
        <v>160</v>
      </c>
      <c r="G16" t="s">
        <v>197</v>
      </c>
    </row>
    <row r="17" spans="1:7">
      <c r="A17" s="2">
        <v>212</v>
      </c>
      <c r="B17" t="str">
        <f t="shared" si="2"/>
        <v>21200000</v>
      </c>
      <c r="C17" t="str">
        <f t="shared" si="3"/>
        <v>n21200000</v>
      </c>
      <c r="D17" s="2" t="s">
        <v>80</v>
      </c>
      <c r="E17" t="s">
        <v>170</v>
      </c>
      <c r="F17" t="s">
        <v>160</v>
      </c>
      <c r="G17" t="s">
        <v>198</v>
      </c>
    </row>
    <row r="18" spans="1:7">
      <c r="A18" s="2">
        <v>221</v>
      </c>
      <c r="B18" t="str">
        <f t="shared" si="2"/>
        <v>22100000</v>
      </c>
      <c r="C18" t="str">
        <f t="shared" si="3"/>
        <v>n22100000</v>
      </c>
      <c r="D18" s="2" t="s">
        <v>81</v>
      </c>
      <c r="E18" t="s">
        <v>170</v>
      </c>
      <c r="F18" t="s">
        <v>160</v>
      </c>
      <c r="G18" t="s">
        <v>199</v>
      </c>
    </row>
    <row r="19" spans="1:7" s="4" customFormat="1">
      <c r="A19" s="3">
        <v>222</v>
      </c>
      <c r="B19" s="4" t="str">
        <f t="shared" si="2"/>
        <v>22200000</v>
      </c>
      <c r="C19" s="4" t="str">
        <f t="shared" si="3"/>
        <v>n22200000</v>
      </c>
      <c r="D19" s="3" t="s">
        <v>82</v>
      </c>
      <c r="E19" s="4" t="s">
        <v>170</v>
      </c>
      <c r="F19" s="4" t="s">
        <v>160</v>
      </c>
      <c r="G19" s="4" t="s">
        <v>200</v>
      </c>
    </row>
    <row r="20" spans="1:7">
      <c r="A20" s="2">
        <v>3119</v>
      </c>
      <c r="B20" t="str">
        <f t="shared" si="2"/>
        <v>31190000</v>
      </c>
      <c r="C20" t="str">
        <f t="shared" si="3"/>
        <v>n31190000</v>
      </c>
      <c r="D20" s="2" t="s">
        <v>83</v>
      </c>
      <c r="E20" t="s">
        <v>170</v>
      </c>
      <c r="F20" t="s">
        <v>161</v>
      </c>
      <c r="G20" t="s">
        <v>197</v>
      </c>
    </row>
    <row r="21" spans="1:7">
      <c r="A21" s="2">
        <v>3112</v>
      </c>
      <c r="B21" t="str">
        <f t="shared" si="2"/>
        <v>31120000</v>
      </c>
      <c r="C21" t="str">
        <f t="shared" si="3"/>
        <v>n31120000</v>
      </c>
      <c r="D21" s="2" t="s">
        <v>84</v>
      </c>
      <c r="E21" t="s">
        <v>170</v>
      </c>
      <c r="F21" t="s">
        <v>161</v>
      </c>
      <c r="G21" t="s">
        <v>197</v>
      </c>
    </row>
    <row r="22" spans="1:7">
      <c r="A22" s="2">
        <v>312119</v>
      </c>
      <c r="B22" t="str">
        <f t="shared" si="2"/>
        <v>31211900</v>
      </c>
      <c r="C22" t="str">
        <f t="shared" si="3"/>
        <v>n31211900</v>
      </c>
      <c r="D22" s="2" t="s">
        <v>85</v>
      </c>
      <c r="E22" t="s">
        <v>170</v>
      </c>
      <c r="F22" t="s">
        <v>161</v>
      </c>
      <c r="G22" t="s">
        <v>198</v>
      </c>
    </row>
    <row r="23" spans="1:7">
      <c r="A23" s="2">
        <v>312112</v>
      </c>
      <c r="B23" t="str">
        <f t="shared" si="2"/>
        <v>31211200</v>
      </c>
      <c r="C23" t="str">
        <f t="shared" si="3"/>
        <v>n31211200</v>
      </c>
      <c r="D23" s="2" t="s">
        <v>86</v>
      </c>
      <c r="E23" t="s">
        <v>170</v>
      </c>
      <c r="F23" t="s">
        <v>161</v>
      </c>
      <c r="G23" t="s">
        <v>198</v>
      </c>
    </row>
    <row r="24" spans="1:7">
      <c r="A24" s="2">
        <v>312129</v>
      </c>
      <c r="B24" t="str">
        <f t="shared" si="2"/>
        <v>31212900</v>
      </c>
      <c r="C24" t="str">
        <f t="shared" si="3"/>
        <v>n31212900</v>
      </c>
      <c r="D24" s="2" t="s">
        <v>87</v>
      </c>
      <c r="E24" t="s">
        <v>170</v>
      </c>
      <c r="F24" t="s">
        <v>161</v>
      </c>
      <c r="G24" t="s">
        <v>198</v>
      </c>
    </row>
    <row r="25" spans="1:7">
      <c r="A25" s="2">
        <v>312122</v>
      </c>
      <c r="B25" t="str">
        <f t="shared" si="2"/>
        <v>31212200</v>
      </c>
      <c r="C25" t="str">
        <f t="shared" si="3"/>
        <v>n31212200</v>
      </c>
      <c r="D25" s="2" t="s">
        <v>88</v>
      </c>
      <c r="E25" t="s">
        <v>170</v>
      </c>
      <c r="F25" t="s">
        <v>161</v>
      </c>
      <c r="G25" t="s">
        <v>198</v>
      </c>
    </row>
    <row r="26" spans="1:7">
      <c r="A26" s="2">
        <v>312219</v>
      </c>
      <c r="B26" t="str">
        <f t="shared" si="2"/>
        <v>31221900</v>
      </c>
      <c r="C26" t="str">
        <f t="shared" si="3"/>
        <v>n31221900</v>
      </c>
      <c r="D26" s="2" t="s">
        <v>89</v>
      </c>
      <c r="E26" t="s">
        <v>170</v>
      </c>
      <c r="F26" t="s">
        <v>161</v>
      </c>
      <c r="G26" t="s">
        <v>198</v>
      </c>
    </row>
    <row r="27" spans="1:7">
      <c r="A27" s="2">
        <v>312212</v>
      </c>
      <c r="B27" t="str">
        <f t="shared" si="2"/>
        <v>31221200</v>
      </c>
      <c r="C27" t="str">
        <f t="shared" si="3"/>
        <v>n31221200</v>
      </c>
      <c r="D27" s="2" t="s">
        <v>90</v>
      </c>
      <c r="E27" t="s">
        <v>170</v>
      </c>
      <c r="F27" t="s">
        <v>161</v>
      </c>
      <c r="G27" t="s">
        <v>198</v>
      </c>
    </row>
    <row r="28" spans="1:7">
      <c r="A28" s="2">
        <v>312229</v>
      </c>
      <c r="B28" t="str">
        <f t="shared" si="2"/>
        <v>31222900</v>
      </c>
      <c r="C28" t="str">
        <f t="shared" si="3"/>
        <v>n31222900</v>
      </c>
      <c r="D28" s="2" t="s">
        <v>91</v>
      </c>
      <c r="E28" t="s">
        <v>170</v>
      </c>
      <c r="F28" t="s">
        <v>161</v>
      </c>
      <c r="G28" t="s">
        <v>198</v>
      </c>
    </row>
    <row r="29" spans="1:7">
      <c r="A29" s="2">
        <v>312222</v>
      </c>
      <c r="B29" t="str">
        <f t="shared" si="2"/>
        <v>31222200</v>
      </c>
      <c r="C29" t="str">
        <f t="shared" si="3"/>
        <v>n31222200</v>
      </c>
      <c r="D29" s="2" t="s">
        <v>92</v>
      </c>
      <c r="E29" t="s">
        <v>170</v>
      </c>
      <c r="F29" t="s">
        <v>161</v>
      </c>
      <c r="G29" t="s">
        <v>198</v>
      </c>
    </row>
    <row r="30" spans="1:7">
      <c r="A30" s="2">
        <v>312319</v>
      </c>
      <c r="B30" t="str">
        <f t="shared" si="2"/>
        <v>31231900</v>
      </c>
      <c r="C30" t="str">
        <f t="shared" si="3"/>
        <v>n31231900</v>
      </c>
      <c r="D30" s="2" t="s">
        <v>93</v>
      </c>
      <c r="E30" t="s">
        <v>170</v>
      </c>
      <c r="F30" t="s">
        <v>161</v>
      </c>
      <c r="G30" t="s">
        <v>198</v>
      </c>
    </row>
    <row r="31" spans="1:7">
      <c r="A31" s="2">
        <v>312312</v>
      </c>
      <c r="B31" t="str">
        <f t="shared" si="2"/>
        <v>31231200</v>
      </c>
      <c r="C31" t="str">
        <f t="shared" si="3"/>
        <v>n31231200</v>
      </c>
      <c r="D31" s="2" t="s">
        <v>94</v>
      </c>
      <c r="E31" t="s">
        <v>170</v>
      </c>
      <c r="F31" t="s">
        <v>161</v>
      </c>
      <c r="G31" t="s">
        <v>198</v>
      </c>
    </row>
    <row r="32" spans="1:7">
      <c r="A32" s="2">
        <v>312329</v>
      </c>
      <c r="B32" t="str">
        <f t="shared" si="2"/>
        <v>31232900</v>
      </c>
      <c r="C32" t="str">
        <f t="shared" si="3"/>
        <v>n31232900</v>
      </c>
      <c r="D32" s="2" t="s">
        <v>95</v>
      </c>
      <c r="E32" t="s">
        <v>170</v>
      </c>
      <c r="F32" t="s">
        <v>161</v>
      </c>
      <c r="G32" t="s">
        <v>198</v>
      </c>
    </row>
    <row r="33" spans="1:7">
      <c r="A33" s="2">
        <v>312322</v>
      </c>
      <c r="B33" t="str">
        <f t="shared" si="2"/>
        <v>31232200</v>
      </c>
      <c r="C33" t="str">
        <f t="shared" si="3"/>
        <v>n31232200</v>
      </c>
      <c r="D33" s="2" t="s">
        <v>96</v>
      </c>
      <c r="E33" t="s">
        <v>170</v>
      </c>
      <c r="F33" t="s">
        <v>161</v>
      </c>
      <c r="G33" t="s">
        <v>198</v>
      </c>
    </row>
    <row r="34" spans="1:7">
      <c r="A34" s="2">
        <v>312412</v>
      </c>
      <c r="B34" t="str">
        <f t="shared" si="2"/>
        <v>31241200</v>
      </c>
      <c r="C34" t="str">
        <f t="shared" si="3"/>
        <v>n31241200</v>
      </c>
      <c r="D34" s="2" t="s">
        <v>97</v>
      </c>
      <c r="E34" t="s">
        <v>170</v>
      </c>
      <c r="F34" t="s">
        <v>161</v>
      </c>
      <c r="G34" t="s">
        <v>198</v>
      </c>
    </row>
    <row r="35" spans="1:7">
      <c r="A35" s="2">
        <v>312422</v>
      </c>
      <c r="B35" t="str">
        <f t="shared" si="2"/>
        <v>31242200</v>
      </c>
      <c r="C35" t="str">
        <f t="shared" si="3"/>
        <v>n31242200</v>
      </c>
      <c r="D35" s="2" t="s">
        <v>98</v>
      </c>
      <c r="E35" t="s">
        <v>170</v>
      </c>
      <c r="F35" t="s">
        <v>161</v>
      </c>
      <c r="G35" t="s">
        <v>198</v>
      </c>
    </row>
    <row r="36" spans="1:7">
      <c r="A36" s="2">
        <v>32119</v>
      </c>
      <c r="B36" t="str">
        <f t="shared" si="2"/>
        <v>32119000</v>
      </c>
      <c r="C36" t="str">
        <f t="shared" si="3"/>
        <v>n32119000</v>
      </c>
      <c r="D36" s="2" t="s">
        <v>99</v>
      </c>
      <c r="E36" t="s">
        <v>170</v>
      </c>
      <c r="F36" t="s">
        <v>161</v>
      </c>
      <c r="G36" t="s">
        <v>199</v>
      </c>
    </row>
    <row r="37" spans="1:7">
      <c r="A37" s="2">
        <v>32112</v>
      </c>
      <c r="B37" t="str">
        <f t="shared" si="2"/>
        <v>32112000</v>
      </c>
      <c r="C37" t="str">
        <f t="shared" si="3"/>
        <v>n32112000</v>
      </c>
      <c r="D37" s="2" t="s">
        <v>100</v>
      </c>
      <c r="E37" t="s">
        <v>170</v>
      </c>
      <c r="F37" t="s">
        <v>161</v>
      </c>
      <c r="G37" t="s">
        <v>199</v>
      </c>
    </row>
    <row r="38" spans="1:7">
      <c r="A38" s="2">
        <v>321219</v>
      </c>
      <c r="B38" t="str">
        <f t="shared" si="2"/>
        <v>32121900</v>
      </c>
      <c r="C38" t="str">
        <f t="shared" si="3"/>
        <v>n32121900</v>
      </c>
      <c r="D38" s="2" t="s">
        <v>101</v>
      </c>
      <c r="E38" t="s">
        <v>170</v>
      </c>
      <c r="F38" t="s">
        <v>161</v>
      </c>
      <c r="G38" t="s">
        <v>199</v>
      </c>
    </row>
    <row r="39" spans="1:7">
      <c r="A39" s="2">
        <v>321212</v>
      </c>
      <c r="B39" t="str">
        <f t="shared" si="2"/>
        <v>32121200</v>
      </c>
      <c r="C39" t="str">
        <f t="shared" si="3"/>
        <v>n32121200</v>
      </c>
      <c r="D39" s="2" t="s">
        <v>102</v>
      </c>
      <c r="E39" t="s">
        <v>170</v>
      </c>
      <c r="F39" t="s">
        <v>161</v>
      </c>
      <c r="G39" t="s">
        <v>199</v>
      </c>
    </row>
    <row r="40" spans="1:7">
      <c r="A40" s="2">
        <v>321229</v>
      </c>
      <c r="B40" t="str">
        <f t="shared" si="2"/>
        <v>32122900</v>
      </c>
      <c r="C40" t="str">
        <f t="shared" si="3"/>
        <v>n32122900</v>
      </c>
      <c r="D40" s="2" t="s">
        <v>103</v>
      </c>
      <c r="E40" t="s">
        <v>170</v>
      </c>
      <c r="F40" t="s">
        <v>161</v>
      </c>
      <c r="G40" t="s">
        <v>199</v>
      </c>
    </row>
    <row r="41" spans="1:7">
      <c r="A41" s="2">
        <v>321222</v>
      </c>
      <c r="B41" t="str">
        <f t="shared" si="2"/>
        <v>32122200</v>
      </c>
      <c r="C41" t="str">
        <f t="shared" si="3"/>
        <v>n32122200</v>
      </c>
      <c r="D41" s="2" t="s">
        <v>104</v>
      </c>
      <c r="E41" t="s">
        <v>170</v>
      </c>
      <c r="F41" t="s">
        <v>161</v>
      </c>
      <c r="G41" t="s">
        <v>199</v>
      </c>
    </row>
    <row r="42" spans="1:7">
      <c r="A42" s="2">
        <v>32139</v>
      </c>
      <c r="B42" t="str">
        <f t="shared" si="2"/>
        <v>32139000</v>
      </c>
      <c r="C42" t="str">
        <f t="shared" si="3"/>
        <v>n32139000</v>
      </c>
      <c r="D42" s="2" t="s">
        <v>105</v>
      </c>
      <c r="E42" t="s">
        <v>170</v>
      </c>
      <c r="F42" t="s">
        <v>161</v>
      </c>
      <c r="G42" t="s">
        <v>199</v>
      </c>
    </row>
    <row r="43" spans="1:7">
      <c r="A43" s="2">
        <v>32132</v>
      </c>
      <c r="B43" t="str">
        <f t="shared" si="2"/>
        <v>32132000</v>
      </c>
      <c r="C43" t="str">
        <f t="shared" si="3"/>
        <v>n32132000</v>
      </c>
      <c r="D43" s="2" t="s">
        <v>106</v>
      </c>
      <c r="E43" t="s">
        <v>170</v>
      </c>
      <c r="F43" t="s">
        <v>161</v>
      </c>
      <c r="G43" t="s">
        <v>199</v>
      </c>
    </row>
    <row r="44" spans="1:7">
      <c r="A44" s="2">
        <v>32142</v>
      </c>
      <c r="B44" t="str">
        <f t="shared" si="2"/>
        <v>32142000</v>
      </c>
      <c r="C44" t="str">
        <f t="shared" si="3"/>
        <v>n32142000</v>
      </c>
      <c r="D44" s="2" t="s">
        <v>107</v>
      </c>
      <c r="E44" t="s">
        <v>170</v>
      </c>
      <c r="F44" t="s">
        <v>161</v>
      </c>
      <c r="G44" t="s">
        <v>199</v>
      </c>
    </row>
    <row r="45" spans="1:7">
      <c r="A45" s="2">
        <v>32219</v>
      </c>
      <c r="B45" t="str">
        <f t="shared" si="2"/>
        <v>32219000</v>
      </c>
      <c r="C45" t="str">
        <f t="shared" si="3"/>
        <v>n32219000</v>
      </c>
      <c r="D45" s="2" t="s">
        <v>108</v>
      </c>
      <c r="E45" t="s">
        <v>170</v>
      </c>
      <c r="F45" t="s">
        <v>161</v>
      </c>
      <c r="G45" t="s">
        <v>200</v>
      </c>
    </row>
    <row r="46" spans="1:7">
      <c r="A46" s="2">
        <v>32212</v>
      </c>
      <c r="B46" t="str">
        <f t="shared" si="2"/>
        <v>32212000</v>
      </c>
      <c r="C46" t="str">
        <f t="shared" si="3"/>
        <v>n32212000</v>
      </c>
      <c r="D46" s="2" t="s">
        <v>109</v>
      </c>
      <c r="E46" t="s">
        <v>170</v>
      </c>
      <c r="F46" t="s">
        <v>161</v>
      </c>
      <c r="G46" t="s">
        <v>200</v>
      </c>
    </row>
    <row r="47" spans="1:7">
      <c r="A47" s="2">
        <v>32229</v>
      </c>
      <c r="B47" t="str">
        <f t="shared" si="2"/>
        <v>32229000</v>
      </c>
      <c r="C47" t="str">
        <f t="shared" si="3"/>
        <v>n32229000</v>
      </c>
      <c r="D47" s="2" t="s">
        <v>110</v>
      </c>
      <c r="E47" t="s">
        <v>170</v>
      </c>
      <c r="F47" t="s">
        <v>161</v>
      </c>
      <c r="G47" t="s">
        <v>200</v>
      </c>
    </row>
    <row r="48" spans="1:7">
      <c r="A48" s="2">
        <v>32222</v>
      </c>
      <c r="B48" t="str">
        <f t="shared" si="2"/>
        <v>32222000</v>
      </c>
      <c r="C48" t="str">
        <f t="shared" si="3"/>
        <v>n32222000</v>
      </c>
      <c r="D48" s="2" t="s">
        <v>111</v>
      </c>
      <c r="E48" t="s">
        <v>170</v>
      </c>
      <c r="F48" t="s">
        <v>161</v>
      </c>
      <c r="G48" t="s">
        <v>200</v>
      </c>
    </row>
    <row r="49" spans="1:7">
      <c r="A49" s="2">
        <v>32239</v>
      </c>
      <c r="B49" t="str">
        <f t="shared" si="2"/>
        <v>32239000</v>
      </c>
      <c r="C49" t="str">
        <f t="shared" si="3"/>
        <v>n32239000</v>
      </c>
      <c r="D49" s="2" t="s">
        <v>112</v>
      </c>
      <c r="E49" t="s">
        <v>170</v>
      </c>
      <c r="F49" t="s">
        <v>161</v>
      </c>
      <c r="G49" t="s">
        <v>200</v>
      </c>
    </row>
    <row r="50" spans="1:7">
      <c r="A50" s="2">
        <v>32232</v>
      </c>
      <c r="B50" t="str">
        <f t="shared" si="2"/>
        <v>32232000</v>
      </c>
      <c r="C50" t="str">
        <f t="shared" si="3"/>
        <v>n32232000</v>
      </c>
      <c r="D50" s="2" t="s">
        <v>113</v>
      </c>
      <c r="E50" t="s">
        <v>170</v>
      </c>
      <c r="F50" t="s">
        <v>161</v>
      </c>
      <c r="G50" t="s">
        <v>200</v>
      </c>
    </row>
    <row r="51" spans="1:7" s="4" customFormat="1">
      <c r="A51" s="3">
        <v>32242</v>
      </c>
      <c r="B51" s="4" t="str">
        <f t="shared" si="2"/>
        <v>32242000</v>
      </c>
      <c r="C51" s="4" t="str">
        <f t="shared" si="3"/>
        <v>n32242000</v>
      </c>
      <c r="D51" s="3" t="s">
        <v>114</v>
      </c>
      <c r="E51" s="4" t="s">
        <v>170</v>
      </c>
      <c r="F51" s="4" t="s">
        <v>161</v>
      </c>
      <c r="G51" s="4" t="s">
        <v>200</v>
      </c>
    </row>
    <row r="52" spans="1:7">
      <c r="A52" s="2">
        <v>419</v>
      </c>
      <c r="B52" t="str">
        <f t="shared" si="2"/>
        <v>41900000</v>
      </c>
      <c r="C52" t="str">
        <f t="shared" si="3"/>
        <v>n41900000</v>
      </c>
      <c r="D52" s="2" t="s">
        <v>115</v>
      </c>
      <c r="E52" t="s">
        <v>170</v>
      </c>
      <c r="F52" t="s">
        <v>161</v>
      </c>
      <c r="G52" t="s">
        <v>199</v>
      </c>
    </row>
    <row r="53" spans="1:7">
      <c r="A53" s="2">
        <v>412</v>
      </c>
      <c r="B53" t="str">
        <f t="shared" si="2"/>
        <v>41200000</v>
      </c>
      <c r="C53" t="str">
        <f t="shared" si="3"/>
        <v>n41200000</v>
      </c>
      <c r="D53" s="2" t="s">
        <v>116</v>
      </c>
      <c r="E53" t="s">
        <v>170</v>
      </c>
      <c r="F53" t="s">
        <v>161</v>
      </c>
      <c r="G53" t="s">
        <v>199</v>
      </c>
    </row>
    <row r="54" spans="1:7">
      <c r="A54" s="2">
        <v>4211119</v>
      </c>
      <c r="B54" t="str">
        <f t="shared" si="2"/>
        <v>42111190</v>
      </c>
      <c r="C54" t="str">
        <f t="shared" si="3"/>
        <v>n42111190</v>
      </c>
      <c r="D54" s="2" t="s">
        <v>117</v>
      </c>
      <c r="E54" t="s">
        <v>170</v>
      </c>
      <c r="F54" t="s">
        <v>165</v>
      </c>
      <c r="G54" t="s">
        <v>197</v>
      </c>
    </row>
    <row r="55" spans="1:7">
      <c r="A55" s="2">
        <v>4211112</v>
      </c>
      <c r="B55" t="str">
        <f t="shared" si="2"/>
        <v>42111120</v>
      </c>
      <c r="C55" t="str">
        <f t="shared" si="3"/>
        <v>n42111120</v>
      </c>
      <c r="D55" s="2" t="s">
        <v>118</v>
      </c>
      <c r="E55" t="s">
        <v>170</v>
      </c>
      <c r="F55" t="s">
        <v>165</v>
      </c>
      <c r="G55" t="s">
        <v>197</v>
      </c>
    </row>
    <row r="56" spans="1:7">
      <c r="A56" s="2">
        <v>4211129</v>
      </c>
      <c r="B56" t="str">
        <f t="shared" si="2"/>
        <v>42111290</v>
      </c>
      <c r="C56" t="str">
        <f t="shared" si="3"/>
        <v>n42111290</v>
      </c>
      <c r="D56" s="2" t="s">
        <v>119</v>
      </c>
      <c r="E56" t="s">
        <v>170</v>
      </c>
      <c r="F56" t="s">
        <v>165</v>
      </c>
      <c r="G56" t="s">
        <v>198</v>
      </c>
    </row>
    <row r="57" spans="1:7">
      <c r="A57" s="2">
        <v>4211122</v>
      </c>
      <c r="B57" t="str">
        <f t="shared" si="2"/>
        <v>42111220</v>
      </c>
      <c r="C57" t="str">
        <f t="shared" si="3"/>
        <v>n42111220</v>
      </c>
      <c r="D57" s="2" t="s">
        <v>120</v>
      </c>
      <c r="E57" t="s">
        <v>170</v>
      </c>
      <c r="F57" t="s">
        <v>165</v>
      </c>
      <c r="G57" t="s">
        <v>198</v>
      </c>
    </row>
    <row r="58" spans="1:7">
      <c r="A58" s="2">
        <v>4211219</v>
      </c>
      <c r="B58" t="str">
        <f t="shared" si="2"/>
        <v>42112190</v>
      </c>
      <c r="C58" t="str">
        <f t="shared" si="3"/>
        <v>n42112190</v>
      </c>
      <c r="D58" s="2" t="s">
        <v>121</v>
      </c>
      <c r="E58" t="s">
        <v>170</v>
      </c>
      <c r="F58" t="s">
        <v>165</v>
      </c>
      <c r="G58" t="s">
        <v>197</v>
      </c>
    </row>
    <row r="59" spans="1:7">
      <c r="A59" s="2">
        <v>4211212</v>
      </c>
      <c r="B59" t="str">
        <f t="shared" si="2"/>
        <v>42112120</v>
      </c>
      <c r="C59" t="str">
        <f t="shared" si="3"/>
        <v>n42112120</v>
      </c>
      <c r="D59" s="2" t="s">
        <v>122</v>
      </c>
      <c r="E59" t="s">
        <v>170</v>
      </c>
      <c r="F59" t="s">
        <v>165</v>
      </c>
      <c r="G59" t="s">
        <v>197</v>
      </c>
    </row>
    <row r="60" spans="1:7">
      <c r="A60" s="2">
        <v>4211229</v>
      </c>
      <c r="B60" t="str">
        <f t="shared" si="2"/>
        <v>42112290</v>
      </c>
      <c r="C60" t="str">
        <f t="shared" si="3"/>
        <v>n42112290</v>
      </c>
      <c r="D60" s="2" t="s">
        <v>123</v>
      </c>
      <c r="E60" t="s">
        <v>170</v>
      </c>
      <c r="F60" t="s">
        <v>165</v>
      </c>
      <c r="G60" t="s">
        <v>198</v>
      </c>
    </row>
    <row r="61" spans="1:7">
      <c r="A61" s="2">
        <v>4211222</v>
      </c>
      <c r="B61" t="str">
        <f t="shared" si="2"/>
        <v>42112220</v>
      </c>
      <c r="C61" t="str">
        <f t="shared" si="3"/>
        <v>n42112220</v>
      </c>
      <c r="D61" s="2" t="s">
        <v>124</v>
      </c>
      <c r="E61" t="s">
        <v>170</v>
      </c>
      <c r="F61" t="s">
        <v>165</v>
      </c>
      <c r="G61" t="s">
        <v>198</v>
      </c>
    </row>
    <row r="62" spans="1:7">
      <c r="A62" s="2">
        <v>4212119</v>
      </c>
      <c r="B62" t="str">
        <f t="shared" si="2"/>
        <v>42121190</v>
      </c>
      <c r="C62" t="str">
        <f t="shared" si="3"/>
        <v>n42121190</v>
      </c>
      <c r="D62" s="2" t="s">
        <v>125</v>
      </c>
      <c r="E62" t="s">
        <v>170</v>
      </c>
      <c r="F62" t="s">
        <v>165</v>
      </c>
      <c r="G62" t="s">
        <v>199</v>
      </c>
    </row>
    <row r="63" spans="1:7">
      <c r="A63" s="2">
        <v>4212112</v>
      </c>
      <c r="B63" t="str">
        <f t="shared" si="2"/>
        <v>42121120</v>
      </c>
      <c r="C63" t="str">
        <f t="shared" si="3"/>
        <v>n42121120</v>
      </c>
      <c r="D63" s="2" t="s">
        <v>126</v>
      </c>
      <c r="E63" t="s">
        <v>170</v>
      </c>
      <c r="F63" t="s">
        <v>165</v>
      </c>
      <c r="G63" t="s">
        <v>199</v>
      </c>
    </row>
    <row r="64" spans="1:7">
      <c r="A64" s="2">
        <v>4212129</v>
      </c>
      <c r="B64" t="str">
        <f t="shared" si="2"/>
        <v>42121290</v>
      </c>
      <c r="C64" t="str">
        <f t="shared" si="3"/>
        <v>n42121290</v>
      </c>
      <c r="D64" s="2" t="s">
        <v>127</v>
      </c>
      <c r="E64" t="s">
        <v>170</v>
      </c>
      <c r="F64" t="s">
        <v>165</v>
      </c>
      <c r="G64" t="s">
        <v>199</v>
      </c>
    </row>
    <row r="65" spans="1:7">
      <c r="A65" s="2">
        <v>4212122</v>
      </c>
      <c r="B65" t="str">
        <f t="shared" si="2"/>
        <v>42121220</v>
      </c>
      <c r="C65" t="str">
        <f t="shared" si="3"/>
        <v>n42121220</v>
      </c>
      <c r="D65" s="2" t="s">
        <v>128</v>
      </c>
      <c r="E65" t="s">
        <v>170</v>
      </c>
      <c r="F65" t="s">
        <v>165</v>
      </c>
      <c r="G65" t="s">
        <v>199</v>
      </c>
    </row>
    <row r="66" spans="1:7">
      <c r="A66" s="2">
        <v>4212219</v>
      </c>
      <c r="B66" t="str">
        <f t="shared" si="2"/>
        <v>42122190</v>
      </c>
      <c r="C66" t="str">
        <f t="shared" si="3"/>
        <v>n42122190</v>
      </c>
      <c r="D66" s="2" t="s">
        <v>129</v>
      </c>
      <c r="E66" t="s">
        <v>170</v>
      </c>
      <c r="F66" t="s">
        <v>165</v>
      </c>
      <c r="G66" t="s">
        <v>200</v>
      </c>
    </row>
    <row r="67" spans="1:7">
      <c r="A67" s="2">
        <v>4212212</v>
      </c>
      <c r="B67" t="str">
        <f t="shared" si="2"/>
        <v>42122120</v>
      </c>
      <c r="C67" t="str">
        <f t="shared" si="3"/>
        <v>n42122120</v>
      </c>
      <c r="D67" s="2" t="s">
        <v>130</v>
      </c>
      <c r="E67" t="s">
        <v>170</v>
      </c>
      <c r="F67" t="s">
        <v>165</v>
      </c>
      <c r="G67" t="s">
        <v>200</v>
      </c>
    </row>
    <row r="68" spans="1:7">
      <c r="A68" s="2">
        <v>4212229</v>
      </c>
      <c r="B68" t="str">
        <f t="shared" si="2"/>
        <v>42122290</v>
      </c>
      <c r="C68" t="str">
        <f t="shared" si="3"/>
        <v>n42122290</v>
      </c>
      <c r="D68" s="2" t="s">
        <v>131</v>
      </c>
      <c r="E68" t="s">
        <v>170</v>
      </c>
      <c r="F68" t="s">
        <v>165</v>
      </c>
      <c r="G68" t="s">
        <v>200</v>
      </c>
    </row>
    <row r="69" spans="1:7">
      <c r="A69" s="2">
        <v>4212222</v>
      </c>
      <c r="B69" t="str">
        <f t="shared" ref="B69:B96" si="4">A69&amp;REPT("0",8-LEN(A69))</f>
        <v>42122220</v>
      </c>
      <c r="C69" t="str">
        <f t="shared" ref="C69:C96" si="5">_xlfn.CONCAT("n",B69)</f>
        <v>n42122220</v>
      </c>
      <c r="D69" s="2" t="s">
        <v>132</v>
      </c>
      <c r="E69" t="s">
        <v>170</v>
      </c>
      <c r="F69" t="s">
        <v>165</v>
      </c>
      <c r="G69" t="s">
        <v>200</v>
      </c>
    </row>
    <row r="70" spans="1:7">
      <c r="A70" s="2">
        <v>422119</v>
      </c>
      <c r="B70" t="str">
        <f t="shared" si="4"/>
        <v>42211900</v>
      </c>
      <c r="C70" t="str">
        <f t="shared" si="5"/>
        <v>n42211900</v>
      </c>
      <c r="D70" s="2" t="s">
        <v>133</v>
      </c>
      <c r="E70" t="s">
        <v>170</v>
      </c>
      <c r="F70" t="s">
        <v>164</v>
      </c>
      <c r="G70" t="s">
        <v>197</v>
      </c>
    </row>
    <row r="71" spans="1:7">
      <c r="A71" s="2">
        <v>422112</v>
      </c>
      <c r="B71" t="str">
        <f t="shared" si="4"/>
        <v>42211200</v>
      </c>
      <c r="C71" t="str">
        <f t="shared" si="5"/>
        <v>n42211200</v>
      </c>
      <c r="D71" s="2" t="s">
        <v>134</v>
      </c>
      <c r="E71" t="s">
        <v>170</v>
      </c>
      <c r="F71" t="s">
        <v>164</v>
      </c>
      <c r="G71" t="s">
        <v>197</v>
      </c>
    </row>
    <row r="72" spans="1:7">
      <c r="A72" s="2">
        <v>422129</v>
      </c>
      <c r="B72" t="str">
        <f t="shared" si="4"/>
        <v>42212900</v>
      </c>
      <c r="C72" t="str">
        <f t="shared" si="5"/>
        <v>n42212900</v>
      </c>
      <c r="D72" s="2" t="s">
        <v>135</v>
      </c>
      <c r="E72" t="s">
        <v>170</v>
      </c>
      <c r="F72" t="s">
        <v>164</v>
      </c>
      <c r="G72" t="s">
        <v>198</v>
      </c>
    </row>
    <row r="73" spans="1:7">
      <c r="A73" s="2">
        <v>422122</v>
      </c>
      <c r="B73" t="str">
        <f t="shared" si="4"/>
        <v>42212200</v>
      </c>
      <c r="C73" t="str">
        <f t="shared" si="5"/>
        <v>n42212200</v>
      </c>
      <c r="D73" s="2" t="s">
        <v>136</v>
      </c>
      <c r="E73" t="s">
        <v>170</v>
      </c>
      <c r="F73" t="s">
        <v>164</v>
      </c>
      <c r="G73" t="s">
        <v>198</v>
      </c>
    </row>
    <row r="74" spans="1:7">
      <c r="A74" s="2">
        <v>4222119</v>
      </c>
      <c r="B74" t="str">
        <f t="shared" si="4"/>
        <v>42221190</v>
      </c>
      <c r="C74" t="str">
        <f t="shared" si="5"/>
        <v>n42221190</v>
      </c>
      <c r="D74" s="2" t="s">
        <v>137</v>
      </c>
      <c r="E74" t="s">
        <v>170</v>
      </c>
      <c r="F74" t="s">
        <v>164</v>
      </c>
      <c r="G74" t="s">
        <v>199</v>
      </c>
    </row>
    <row r="75" spans="1:7">
      <c r="A75" s="2">
        <v>4222112</v>
      </c>
      <c r="B75" t="str">
        <f t="shared" si="4"/>
        <v>42221120</v>
      </c>
      <c r="C75" t="str">
        <f t="shared" si="5"/>
        <v>n42221120</v>
      </c>
      <c r="D75" s="2" t="s">
        <v>138</v>
      </c>
      <c r="E75" t="s">
        <v>170</v>
      </c>
      <c r="F75" t="s">
        <v>164</v>
      </c>
      <c r="G75" t="s">
        <v>199</v>
      </c>
    </row>
    <row r="76" spans="1:7">
      <c r="A76" s="2">
        <v>42221219</v>
      </c>
      <c r="B76" t="str">
        <f t="shared" si="4"/>
        <v>42221219</v>
      </c>
      <c r="C76" t="str">
        <f t="shared" si="5"/>
        <v>n42221219</v>
      </c>
      <c r="D76" s="2" t="s">
        <v>139</v>
      </c>
      <c r="E76" t="s">
        <v>170</v>
      </c>
      <c r="F76" t="s">
        <v>164</v>
      </c>
      <c r="G76" t="s">
        <v>199</v>
      </c>
    </row>
    <row r="77" spans="1:7">
      <c r="A77" s="2">
        <v>42221212</v>
      </c>
      <c r="B77" t="str">
        <f t="shared" si="4"/>
        <v>42221212</v>
      </c>
      <c r="C77" t="str">
        <f t="shared" si="5"/>
        <v>n42221212</v>
      </c>
      <c r="D77" s="2" t="s">
        <v>140</v>
      </c>
      <c r="E77" t="s">
        <v>170</v>
      </c>
      <c r="F77" t="s">
        <v>164</v>
      </c>
      <c r="G77" t="s">
        <v>199</v>
      </c>
    </row>
    <row r="78" spans="1:7">
      <c r="A78" s="2">
        <v>42221229</v>
      </c>
      <c r="B78" t="str">
        <f t="shared" si="4"/>
        <v>42221229</v>
      </c>
      <c r="C78" t="str">
        <f t="shared" si="5"/>
        <v>n42221229</v>
      </c>
      <c r="D78" s="2" t="s">
        <v>141</v>
      </c>
      <c r="E78" t="s">
        <v>170</v>
      </c>
      <c r="F78" t="s">
        <v>164</v>
      </c>
      <c r="G78" t="s">
        <v>199</v>
      </c>
    </row>
    <row r="79" spans="1:7">
      <c r="A79" s="2">
        <v>42221222</v>
      </c>
      <c r="B79" t="str">
        <f t="shared" si="4"/>
        <v>42221222</v>
      </c>
      <c r="C79" t="str">
        <f t="shared" si="5"/>
        <v>n42221222</v>
      </c>
      <c r="D79" s="2" t="s">
        <v>142</v>
      </c>
      <c r="E79" t="s">
        <v>170</v>
      </c>
      <c r="F79" t="s">
        <v>164</v>
      </c>
      <c r="G79" t="s">
        <v>199</v>
      </c>
    </row>
    <row r="80" spans="1:7">
      <c r="A80" s="2">
        <v>422229</v>
      </c>
      <c r="B80" t="str">
        <f t="shared" si="4"/>
        <v>42222900</v>
      </c>
      <c r="C80" t="str">
        <f t="shared" si="5"/>
        <v>n42222900</v>
      </c>
      <c r="D80" s="2" t="s">
        <v>143</v>
      </c>
      <c r="E80" t="s">
        <v>170</v>
      </c>
      <c r="F80" t="s">
        <v>164</v>
      </c>
      <c r="G80" t="s">
        <v>200</v>
      </c>
    </row>
    <row r="81" spans="1:7" s="4" customFormat="1">
      <c r="A81" s="3">
        <v>422222</v>
      </c>
      <c r="B81" s="4" t="str">
        <f t="shared" si="4"/>
        <v>42222200</v>
      </c>
      <c r="C81" s="4" t="str">
        <f t="shared" si="5"/>
        <v>n42222200</v>
      </c>
      <c r="D81" s="3" t="s">
        <v>144</v>
      </c>
      <c r="E81" s="4" t="s">
        <v>170</v>
      </c>
      <c r="F81" s="4" t="s">
        <v>164</v>
      </c>
      <c r="G81" s="4" t="s">
        <v>200</v>
      </c>
    </row>
    <row r="82" spans="1:7">
      <c r="A82" s="2">
        <v>51</v>
      </c>
      <c r="B82" t="str">
        <f t="shared" si="4"/>
        <v>51000000</v>
      </c>
      <c r="C82" t="str">
        <f t="shared" si="5"/>
        <v>n51000000</v>
      </c>
      <c r="D82" s="2" t="s">
        <v>66</v>
      </c>
      <c r="E82" t="s">
        <v>171</v>
      </c>
      <c r="F82" t="s">
        <v>162</v>
      </c>
      <c r="G82" t="s">
        <v>201</v>
      </c>
    </row>
    <row r="83" spans="1:7">
      <c r="A83" s="2">
        <v>5219</v>
      </c>
      <c r="B83" t="str">
        <f t="shared" si="4"/>
        <v>52190000</v>
      </c>
      <c r="C83" t="str">
        <f t="shared" si="5"/>
        <v>n52190000</v>
      </c>
      <c r="D83" s="2" t="s">
        <v>145</v>
      </c>
      <c r="E83" t="s">
        <v>171</v>
      </c>
      <c r="F83" t="s">
        <v>163</v>
      </c>
      <c r="G83" t="s">
        <v>201</v>
      </c>
    </row>
    <row r="84" spans="1:7">
      <c r="A84" s="2">
        <v>5212</v>
      </c>
      <c r="B84" t="str">
        <f t="shared" si="4"/>
        <v>52120000</v>
      </c>
      <c r="C84" t="str">
        <f t="shared" si="5"/>
        <v>n52120000</v>
      </c>
      <c r="D84" s="2" t="s">
        <v>146</v>
      </c>
      <c r="E84" t="s">
        <v>171</v>
      </c>
      <c r="F84" t="s">
        <v>163</v>
      </c>
      <c r="G84" t="s">
        <v>201</v>
      </c>
    </row>
    <row r="85" spans="1:7">
      <c r="A85" s="2">
        <v>5222</v>
      </c>
      <c r="B85" t="str">
        <f t="shared" si="4"/>
        <v>52220000</v>
      </c>
      <c r="C85" t="str">
        <f t="shared" si="5"/>
        <v>n52220000</v>
      </c>
      <c r="D85" s="2" t="s">
        <v>147</v>
      </c>
      <c r="E85" t="s">
        <v>171</v>
      </c>
      <c r="F85" t="s">
        <v>163</v>
      </c>
      <c r="G85" t="s">
        <v>201</v>
      </c>
    </row>
    <row r="86" spans="1:7">
      <c r="A86" s="2">
        <v>5239</v>
      </c>
      <c r="B86" t="str">
        <f t="shared" si="4"/>
        <v>52390000</v>
      </c>
      <c r="C86" t="str">
        <f t="shared" si="5"/>
        <v>n52390000</v>
      </c>
      <c r="D86" s="2" t="s">
        <v>148</v>
      </c>
      <c r="E86" t="s">
        <v>171</v>
      </c>
      <c r="F86" t="s">
        <v>163</v>
      </c>
      <c r="G86" t="s">
        <v>201</v>
      </c>
    </row>
    <row r="87" spans="1:7">
      <c r="A87" s="2">
        <v>5232</v>
      </c>
      <c r="B87" t="str">
        <f t="shared" si="4"/>
        <v>52320000</v>
      </c>
      <c r="C87" t="str">
        <f t="shared" si="5"/>
        <v>n52320000</v>
      </c>
      <c r="D87" s="2" t="s">
        <v>149</v>
      </c>
      <c r="E87" t="s">
        <v>171</v>
      </c>
      <c r="F87" t="s">
        <v>163</v>
      </c>
      <c r="G87" t="s">
        <v>201</v>
      </c>
    </row>
    <row r="88" spans="1:7">
      <c r="A88" s="2">
        <v>539</v>
      </c>
      <c r="B88" t="str">
        <f t="shared" si="4"/>
        <v>53900000</v>
      </c>
      <c r="C88" t="str">
        <f t="shared" si="5"/>
        <v>n53900000</v>
      </c>
      <c r="D88" s="2" t="s">
        <v>150</v>
      </c>
      <c r="E88" t="s">
        <v>171</v>
      </c>
      <c r="F88" t="s">
        <v>166</v>
      </c>
      <c r="G88" t="s">
        <v>201</v>
      </c>
    </row>
    <row r="89" spans="1:7" s="4" customFormat="1">
      <c r="A89" s="3">
        <v>532</v>
      </c>
      <c r="B89" s="4" t="str">
        <f t="shared" si="4"/>
        <v>53200000</v>
      </c>
      <c r="C89" s="4" t="str">
        <f t="shared" si="5"/>
        <v>n53200000</v>
      </c>
      <c r="D89" s="3" t="s">
        <v>151</v>
      </c>
      <c r="E89" s="4" t="s">
        <v>171</v>
      </c>
      <c r="F89" s="4" t="s">
        <v>166</v>
      </c>
      <c r="G89" s="4" t="s">
        <v>201</v>
      </c>
    </row>
    <row r="90" spans="1:7">
      <c r="A90" s="2">
        <v>61</v>
      </c>
      <c r="B90" t="str">
        <f t="shared" si="4"/>
        <v>61000000</v>
      </c>
      <c r="C90" t="str">
        <f t="shared" si="5"/>
        <v>n61000000</v>
      </c>
      <c r="D90" s="2" t="s">
        <v>152</v>
      </c>
      <c r="E90" t="s">
        <v>172</v>
      </c>
      <c r="F90" t="s">
        <v>167</v>
      </c>
      <c r="G90" t="s">
        <v>201</v>
      </c>
    </row>
    <row r="91" spans="1:7">
      <c r="A91" s="2">
        <v>6212</v>
      </c>
      <c r="B91" t="str">
        <f t="shared" si="4"/>
        <v>62120000</v>
      </c>
      <c r="C91" t="str">
        <f t="shared" si="5"/>
        <v>n62120000</v>
      </c>
      <c r="D91" s="2" t="s">
        <v>153</v>
      </c>
      <c r="E91" t="s">
        <v>172</v>
      </c>
      <c r="F91" t="s">
        <v>168</v>
      </c>
      <c r="G91" t="s">
        <v>201</v>
      </c>
    </row>
    <row r="92" spans="1:7">
      <c r="A92" s="2">
        <v>6229</v>
      </c>
      <c r="B92" t="str">
        <f t="shared" si="4"/>
        <v>62290000</v>
      </c>
      <c r="C92" t="str">
        <f t="shared" si="5"/>
        <v>n62290000</v>
      </c>
      <c r="D92" s="2" t="s">
        <v>154</v>
      </c>
      <c r="E92" t="s">
        <v>172</v>
      </c>
      <c r="F92" t="s">
        <v>168</v>
      </c>
      <c r="G92" t="s">
        <v>201</v>
      </c>
    </row>
    <row r="93" spans="1:7">
      <c r="A93" s="2">
        <v>6222</v>
      </c>
      <c r="B93" t="str">
        <f t="shared" si="4"/>
        <v>62220000</v>
      </c>
      <c r="C93" t="str">
        <f t="shared" si="5"/>
        <v>n62220000</v>
      </c>
      <c r="D93" s="2" t="s">
        <v>155</v>
      </c>
      <c r="E93" t="s">
        <v>172</v>
      </c>
      <c r="F93" t="s">
        <v>168</v>
      </c>
      <c r="G93" t="s">
        <v>201</v>
      </c>
    </row>
    <row r="94" spans="1:7">
      <c r="A94" s="2">
        <v>639</v>
      </c>
      <c r="B94" t="str">
        <f t="shared" si="4"/>
        <v>63900000</v>
      </c>
      <c r="C94" t="str">
        <f t="shared" si="5"/>
        <v>n63900000</v>
      </c>
      <c r="D94" s="2" t="s">
        <v>156</v>
      </c>
      <c r="E94" t="s">
        <v>172</v>
      </c>
      <c r="F94" t="s">
        <v>169</v>
      </c>
      <c r="G94" t="s">
        <v>201</v>
      </c>
    </row>
    <row r="95" spans="1:7" s="4" customFormat="1">
      <c r="A95" s="3">
        <v>632</v>
      </c>
      <c r="B95" s="4" t="str">
        <f t="shared" si="4"/>
        <v>63200000</v>
      </c>
      <c r="C95" s="4" t="str">
        <f t="shared" si="5"/>
        <v>n63200000</v>
      </c>
      <c r="D95" s="3" t="s">
        <v>157</v>
      </c>
      <c r="E95" s="4" t="s">
        <v>172</v>
      </c>
      <c r="F95" s="4" t="s">
        <v>169</v>
      </c>
      <c r="G95" s="4" t="s">
        <v>201</v>
      </c>
    </row>
    <row r="96" spans="1:7">
      <c r="A96" s="2">
        <v>7</v>
      </c>
      <c r="B96" t="str">
        <f t="shared" si="4"/>
        <v>70000000</v>
      </c>
      <c r="C96" t="str">
        <f t="shared" si="5"/>
        <v>n70000000</v>
      </c>
      <c r="D96" s="2" t="s">
        <v>173</v>
      </c>
      <c r="E96" t="s">
        <v>174</v>
      </c>
      <c r="F96" t="s">
        <v>174</v>
      </c>
      <c r="G96" t="s">
        <v>201</v>
      </c>
    </row>
  </sheetData>
  <autoFilter ref="A1:G1" xr:uid="{6A7BB84B-4BF3-4978-BFCA-0C4F8A30C442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BF65-EF5F-4E07-966C-60B1D3D59155}">
  <dimension ref="A1:G96"/>
  <sheetViews>
    <sheetView workbookViewId="0">
      <pane ySplit="1" topLeftCell="A76" activePane="bottomLeft" state="frozen"/>
      <selection pane="bottomLeft" activeCell="F70" sqref="F70"/>
    </sheetView>
  </sheetViews>
  <sheetFormatPr defaultRowHeight="14.5"/>
  <cols>
    <col min="1" max="1" width="23.54296875" bestFit="1" customWidth="1"/>
    <col min="2" max="2" width="13.6328125" bestFit="1" customWidth="1"/>
    <col min="3" max="3" width="24.81640625" bestFit="1" customWidth="1"/>
    <col min="4" max="4" width="125.54296875" customWidth="1"/>
    <col min="5" max="5" width="15.08984375" bestFit="1" customWidth="1"/>
    <col min="6" max="6" width="30.54296875" bestFit="1" customWidth="1"/>
    <col min="7" max="7" width="14.81640625" bestFit="1" customWidth="1"/>
  </cols>
  <sheetData>
    <row r="1" spans="1:7">
      <c r="A1" s="1" t="s">
        <v>193</v>
      </c>
      <c r="B1" s="1" t="s">
        <v>194</v>
      </c>
      <c r="C1" s="1" t="s">
        <v>77</v>
      </c>
      <c r="D1" s="1" t="s">
        <v>190</v>
      </c>
      <c r="E1" s="1" t="s">
        <v>191</v>
      </c>
      <c r="F1" s="1" t="s">
        <v>192</v>
      </c>
      <c r="G1" s="1" t="s">
        <v>195</v>
      </c>
    </row>
    <row r="2" spans="1:7">
      <c r="A2" s="2">
        <v>111</v>
      </c>
      <c r="B2" t="str">
        <f t="shared" ref="B2:B3" si="0">A2&amp;REPT("0",8-LEN(A2))</f>
        <v>11100000</v>
      </c>
      <c r="C2" t="str">
        <f t="shared" ref="C2:C3" si="1">_xlfn.CONCAT("n",B2)</f>
        <v>n11100000</v>
      </c>
      <c r="D2" s="2" t="s">
        <v>188</v>
      </c>
      <c r="E2" t="s">
        <v>170</v>
      </c>
      <c r="F2" t="s">
        <v>161</v>
      </c>
      <c r="G2" t="s">
        <v>196</v>
      </c>
    </row>
    <row r="3" spans="1:7">
      <c r="A3" s="2">
        <v>112</v>
      </c>
      <c r="B3" t="str">
        <f t="shared" si="0"/>
        <v>11200000</v>
      </c>
      <c r="C3" t="str">
        <f t="shared" si="1"/>
        <v>n11200000</v>
      </c>
      <c r="D3" s="2" t="s">
        <v>189</v>
      </c>
      <c r="E3" t="s">
        <v>170</v>
      </c>
      <c r="F3" t="s">
        <v>160</v>
      </c>
      <c r="G3" t="s">
        <v>196</v>
      </c>
    </row>
    <row r="4" spans="1:7">
      <c r="A4" s="2">
        <v>122</v>
      </c>
      <c r="B4" t="str">
        <f>A4&amp;REPT("0",8-LEN(A4))</f>
        <v>12200000</v>
      </c>
      <c r="C4" t="str">
        <f>_xlfn.CONCAT("n",B4)</f>
        <v>n12200000</v>
      </c>
      <c r="D4" s="2" t="s">
        <v>175</v>
      </c>
      <c r="E4" t="s">
        <v>170</v>
      </c>
      <c r="F4" t="s">
        <v>161</v>
      </c>
      <c r="G4" t="s">
        <v>196</v>
      </c>
    </row>
    <row r="5" spans="1:7">
      <c r="A5" s="2">
        <v>123</v>
      </c>
      <c r="B5" t="str">
        <f t="shared" ref="B5:B68" si="2">A5&amp;REPT("0",8-LEN(A5))</f>
        <v>12300000</v>
      </c>
      <c r="C5" t="str">
        <f t="shared" ref="C5:C68" si="3">_xlfn.CONCAT("n",B5)</f>
        <v>n12300000</v>
      </c>
      <c r="D5" s="2" t="s">
        <v>176</v>
      </c>
      <c r="E5" t="s">
        <v>170</v>
      </c>
      <c r="F5" t="s">
        <v>161</v>
      </c>
      <c r="G5" t="s">
        <v>196</v>
      </c>
    </row>
    <row r="6" spans="1:7">
      <c r="A6" s="2">
        <v>124</v>
      </c>
      <c r="B6" t="str">
        <f t="shared" si="2"/>
        <v>12400000</v>
      </c>
      <c r="C6" t="str">
        <f t="shared" si="3"/>
        <v>n12400000</v>
      </c>
      <c r="D6" s="2" t="s">
        <v>177</v>
      </c>
      <c r="E6" t="s">
        <v>170</v>
      </c>
      <c r="F6" t="s">
        <v>161</v>
      </c>
      <c r="G6" t="s">
        <v>196</v>
      </c>
    </row>
    <row r="7" spans="1:7">
      <c r="A7" s="2">
        <v>125</v>
      </c>
      <c r="B7" t="str">
        <f t="shared" si="2"/>
        <v>12500000</v>
      </c>
      <c r="C7" t="str">
        <f t="shared" si="3"/>
        <v>n12500000</v>
      </c>
      <c r="D7" s="2" t="s">
        <v>178</v>
      </c>
      <c r="E7" t="s">
        <v>170</v>
      </c>
      <c r="F7" t="s">
        <v>161</v>
      </c>
      <c r="G7" t="s">
        <v>196</v>
      </c>
    </row>
    <row r="8" spans="1:7">
      <c r="A8" s="2">
        <v>126</v>
      </c>
      <c r="B8" t="str">
        <f t="shared" si="2"/>
        <v>12600000</v>
      </c>
      <c r="C8" t="str">
        <f t="shared" si="3"/>
        <v>n12600000</v>
      </c>
      <c r="D8" s="2" t="s">
        <v>179</v>
      </c>
      <c r="E8" t="s">
        <v>170</v>
      </c>
      <c r="F8" t="s">
        <v>161</v>
      </c>
      <c r="G8" t="s">
        <v>196</v>
      </c>
    </row>
    <row r="9" spans="1:7">
      <c r="A9" s="2">
        <v>127</v>
      </c>
      <c r="B9" t="str">
        <f t="shared" si="2"/>
        <v>12700000</v>
      </c>
      <c r="C9" t="str">
        <f t="shared" si="3"/>
        <v>n12700000</v>
      </c>
      <c r="D9" s="2" t="s">
        <v>180</v>
      </c>
      <c r="E9" t="s">
        <v>170</v>
      </c>
      <c r="F9" t="s">
        <v>161</v>
      </c>
      <c r="G9" t="s">
        <v>196</v>
      </c>
    </row>
    <row r="10" spans="1:7">
      <c r="A10" s="2">
        <v>121</v>
      </c>
      <c r="B10" t="str">
        <f t="shared" si="2"/>
        <v>12100000</v>
      </c>
      <c r="C10" t="str">
        <f t="shared" si="3"/>
        <v>n12100000</v>
      </c>
      <c r="D10" s="2" t="s">
        <v>181</v>
      </c>
      <c r="E10" t="s">
        <v>170</v>
      </c>
      <c r="F10" t="s">
        <v>161</v>
      </c>
      <c r="G10" t="s">
        <v>196</v>
      </c>
    </row>
    <row r="11" spans="1:7">
      <c r="A11" s="2">
        <v>131</v>
      </c>
      <c r="B11" t="str">
        <f t="shared" si="2"/>
        <v>13100000</v>
      </c>
      <c r="C11" t="str">
        <f t="shared" si="3"/>
        <v>n13100000</v>
      </c>
      <c r="D11" s="2" t="s">
        <v>182</v>
      </c>
      <c r="E11" t="s">
        <v>170</v>
      </c>
      <c r="F11" t="s">
        <v>161</v>
      </c>
      <c r="G11" t="s">
        <v>196</v>
      </c>
    </row>
    <row r="12" spans="1:7">
      <c r="A12" s="2">
        <v>132</v>
      </c>
      <c r="B12" t="str">
        <f t="shared" si="2"/>
        <v>13200000</v>
      </c>
      <c r="C12" t="str">
        <f t="shared" si="3"/>
        <v>n13200000</v>
      </c>
      <c r="D12" s="2" t="s">
        <v>183</v>
      </c>
      <c r="E12" t="s">
        <v>170</v>
      </c>
      <c r="F12" t="s">
        <v>164</v>
      </c>
      <c r="G12" t="s">
        <v>196</v>
      </c>
    </row>
    <row r="13" spans="1:7">
      <c r="A13" s="2">
        <v>100</v>
      </c>
      <c r="B13" t="str">
        <f t="shared" si="2"/>
        <v>10000000</v>
      </c>
      <c r="C13" t="str">
        <f t="shared" si="3"/>
        <v>n10000000</v>
      </c>
      <c r="D13" s="2" t="s">
        <v>184</v>
      </c>
      <c r="E13" t="s">
        <v>170</v>
      </c>
      <c r="F13" t="s">
        <v>187</v>
      </c>
      <c r="G13" t="s">
        <v>196</v>
      </c>
    </row>
    <row r="14" spans="1:7">
      <c r="A14" s="2">
        <v>101</v>
      </c>
      <c r="B14" t="str">
        <f t="shared" si="2"/>
        <v>10100000</v>
      </c>
      <c r="C14" t="str">
        <f t="shared" si="3"/>
        <v>n10100000</v>
      </c>
      <c r="D14" s="2" t="s">
        <v>185</v>
      </c>
      <c r="E14" t="s">
        <v>170</v>
      </c>
      <c r="F14" t="s">
        <v>187</v>
      </c>
      <c r="G14" t="s">
        <v>196</v>
      </c>
    </row>
    <row r="15" spans="1:7" s="4" customFormat="1">
      <c r="A15" s="3">
        <v>102</v>
      </c>
      <c r="B15" s="4" t="str">
        <f t="shared" si="2"/>
        <v>10200000</v>
      </c>
      <c r="C15" s="4" t="str">
        <f t="shared" si="3"/>
        <v>n10200000</v>
      </c>
      <c r="D15" s="3" t="s">
        <v>186</v>
      </c>
      <c r="E15" s="4" t="s">
        <v>170</v>
      </c>
      <c r="F15" s="4" t="s">
        <v>187</v>
      </c>
      <c r="G15" s="4" t="s">
        <v>196</v>
      </c>
    </row>
    <row r="16" spans="1:7">
      <c r="A16" s="2">
        <v>211</v>
      </c>
      <c r="B16" t="str">
        <f t="shared" si="2"/>
        <v>21100000</v>
      </c>
      <c r="C16" t="str">
        <f t="shared" si="3"/>
        <v>n21100000</v>
      </c>
      <c r="D16" s="2" t="s">
        <v>79</v>
      </c>
      <c r="E16" t="s">
        <v>170</v>
      </c>
      <c r="F16" t="s">
        <v>160</v>
      </c>
      <c r="G16" t="s">
        <v>197</v>
      </c>
    </row>
    <row r="17" spans="1:7">
      <c r="A17" s="2">
        <v>212</v>
      </c>
      <c r="B17" t="str">
        <f t="shared" si="2"/>
        <v>21200000</v>
      </c>
      <c r="C17" t="str">
        <f t="shared" si="3"/>
        <v>n21200000</v>
      </c>
      <c r="D17" s="2" t="s">
        <v>80</v>
      </c>
      <c r="E17" t="s">
        <v>170</v>
      </c>
      <c r="F17" t="s">
        <v>160</v>
      </c>
      <c r="G17" t="s">
        <v>198</v>
      </c>
    </row>
    <row r="18" spans="1:7">
      <c r="A18" s="2">
        <v>221</v>
      </c>
      <c r="B18" t="str">
        <f t="shared" si="2"/>
        <v>22100000</v>
      </c>
      <c r="C18" t="str">
        <f t="shared" si="3"/>
        <v>n22100000</v>
      </c>
      <c r="D18" s="2" t="s">
        <v>81</v>
      </c>
      <c r="E18" t="s">
        <v>170</v>
      </c>
      <c r="F18" t="s">
        <v>160</v>
      </c>
      <c r="G18" t="s">
        <v>199</v>
      </c>
    </row>
    <row r="19" spans="1:7" s="4" customFormat="1">
      <c r="A19" s="3">
        <v>222</v>
      </c>
      <c r="B19" s="4" t="str">
        <f t="shared" si="2"/>
        <v>22200000</v>
      </c>
      <c r="C19" s="4" t="str">
        <f t="shared" si="3"/>
        <v>n22200000</v>
      </c>
      <c r="D19" s="3" t="s">
        <v>82</v>
      </c>
      <c r="E19" s="4" t="s">
        <v>170</v>
      </c>
      <c r="F19" s="4" t="s">
        <v>160</v>
      </c>
      <c r="G19" s="4" t="s">
        <v>200</v>
      </c>
    </row>
    <row r="20" spans="1:7">
      <c r="A20" s="2">
        <v>3119</v>
      </c>
      <c r="B20" t="str">
        <f t="shared" si="2"/>
        <v>31190000</v>
      </c>
      <c r="C20" t="str">
        <f t="shared" si="3"/>
        <v>n31190000</v>
      </c>
      <c r="D20" s="2" t="s">
        <v>83</v>
      </c>
      <c r="E20" t="s">
        <v>170</v>
      </c>
      <c r="F20" t="s">
        <v>161</v>
      </c>
      <c r="G20" t="s">
        <v>197</v>
      </c>
    </row>
    <row r="21" spans="1:7">
      <c r="A21" s="2">
        <v>3112</v>
      </c>
      <c r="B21" t="str">
        <f t="shared" si="2"/>
        <v>31120000</v>
      </c>
      <c r="C21" t="str">
        <f t="shared" si="3"/>
        <v>n31120000</v>
      </c>
      <c r="D21" s="2" t="s">
        <v>84</v>
      </c>
      <c r="E21" t="s">
        <v>170</v>
      </c>
      <c r="F21" t="s">
        <v>161</v>
      </c>
      <c r="G21" t="s">
        <v>197</v>
      </c>
    </row>
    <row r="22" spans="1:7">
      <c r="A22" s="2">
        <v>312119</v>
      </c>
      <c r="B22" t="str">
        <f t="shared" si="2"/>
        <v>31211900</v>
      </c>
      <c r="C22" t="str">
        <f t="shared" si="3"/>
        <v>n31211900</v>
      </c>
      <c r="D22" s="2" t="s">
        <v>85</v>
      </c>
      <c r="E22" t="s">
        <v>170</v>
      </c>
      <c r="F22" t="s">
        <v>161</v>
      </c>
      <c r="G22" t="s">
        <v>198</v>
      </c>
    </row>
    <row r="23" spans="1:7">
      <c r="A23" s="2">
        <v>312112</v>
      </c>
      <c r="B23" t="str">
        <f t="shared" si="2"/>
        <v>31211200</v>
      </c>
      <c r="C23" t="str">
        <f t="shared" si="3"/>
        <v>n31211200</v>
      </c>
      <c r="D23" s="2" t="s">
        <v>86</v>
      </c>
      <c r="E23" t="s">
        <v>170</v>
      </c>
      <c r="F23" t="s">
        <v>161</v>
      </c>
      <c r="G23" t="s">
        <v>198</v>
      </c>
    </row>
    <row r="24" spans="1:7">
      <c r="A24" s="2">
        <v>312129</v>
      </c>
      <c r="B24" t="str">
        <f t="shared" si="2"/>
        <v>31212900</v>
      </c>
      <c r="C24" t="str">
        <f t="shared" si="3"/>
        <v>n31212900</v>
      </c>
      <c r="D24" s="2" t="s">
        <v>87</v>
      </c>
      <c r="E24" t="s">
        <v>170</v>
      </c>
      <c r="F24" t="s">
        <v>161</v>
      </c>
      <c r="G24" t="s">
        <v>198</v>
      </c>
    </row>
    <row r="25" spans="1:7">
      <c r="A25" s="2">
        <v>312122</v>
      </c>
      <c r="B25" t="str">
        <f t="shared" si="2"/>
        <v>31212200</v>
      </c>
      <c r="C25" t="str">
        <f t="shared" si="3"/>
        <v>n31212200</v>
      </c>
      <c r="D25" s="2" t="s">
        <v>88</v>
      </c>
      <c r="E25" t="s">
        <v>170</v>
      </c>
      <c r="F25" t="s">
        <v>161</v>
      </c>
      <c r="G25" t="s">
        <v>198</v>
      </c>
    </row>
    <row r="26" spans="1:7">
      <c r="A26" s="2">
        <v>312219</v>
      </c>
      <c r="B26" t="str">
        <f t="shared" si="2"/>
        <v>31221900</v>
      </c>
      <c r="C26" t="str">
        <f t="shared" si="3"/>
        <v>n31221900</v>
      </c>
      <c r="D26" s="2" t="s">
        <v>89</v>
      </c>
      <c r="E26" t="s">
        <v>170</v>
      </c>
      <c r="F26" t="s">
        <v>161</v>
      </c>
      <c r="G26" t="s">
        <v>198</v>
      </c>
    </row>
    <row r="27" spans="1:7">
      <c r="A27" s="2">
        <v>312212</v>
      </c>
      <c r="B27" t="str">
        <f t="shared" si="2"/>
        <v>31221200</v>
      </c>
      <c r="C27" t="str">
        <f t="shared" si="3"/>
        <v>n31221200</v>
      </c>
      <c r="D27" s="2" t="s">
        <v>90</v>
      </c>
      <c r="E27" t="s">
        <v>170</v>
      </c>
      <c r="F27" t="s">
        <v>161</v>
      </c>
      <c r="G27" t="s">
        <v>198</v>
      </c>
    </row>
    <row r="28" spans="1:7">
      <c r="A28" s="2">
        <v>312229</v>
      </c>
      <c r="B28" t="str">
        <f t="shared" si="2"/>
        <v>31222900</v>
      </c>
      <c r="C28" t="str">
        <f t="shared" si="3"/>
        <v>n31222900</v>
      </c>
      <c r="D28" s="2" t="s">
        <v>91</v>
      </c>
      <c r="E28" t="s">
        <v>170</v>
      </c>
      <c r="F28" t="s">
        <v>161</v>
      </c>
      <c r="G28" t="s">
        <v>198</v>
      </c>
    </row>
    <row r="29" spans="1:7">
      <c r="A29" s="2">
        <v>312222</v>
      </c>
      <c r="B29" t="str">
        <f t="shared" si="2"/>
        <v>31222200</v>
      </c>
      <c r="C29" t="str">
        <f t="shared" si="3"/>
        <v>n31222200</v>
      </c>
      <c r="D29" s="2" t="s">
        <v>92</v>
      </c>
      <c r="E29" t="s">
        <v>170</v>
      </c>
      <c r="F29" t="s">
        <v>161</v>
      </c>
      <c r="G29" t="s">
        <v>198</v>
      </c>
    </row>
    <row r="30" spans="1:7">
      <c r="A30" s="2">
        <v>312319</v>
      </c>
      <c r="B30" t="str">
        <f t="shared" si="2"/>
        <v>31231900</v>
      </c>
      <c r="C30" t="str">
        <f t="shared" si="3"/>
        <v>n31231900</v>
      </c>
      <c r="D30" s="2" t="s">
        <v>93</v>
      </c>
      <c r="E30" t="s">
        <v>170</v>
      </c>
      <c r="F30" t="s">
        <v>161</v>
      </c>
      <c r="G30" t="s">
        <v>198</v>
      </c>
    </row>
    <row r="31" spans="1:7">
      <c r="A31" s="2">
        <v>312312</v>
      </c>
      <c r="B31" t="str">
        <f t="shared" si="2"/>
        <v>31231200</v>
      </c>
      <c r="C31" t="str">
        <f t="shared" si="3"/>
        <v>n31231200</v>
      </c>
      <c r="D31" s="2" t="s">
        <v>94</v>
      </c>
      <c r="E31" t="s">
        <v>170</v>
      </c>
      <c r="F31" t="s">
        <v>161</v>
      </c>
      <c r="G31" t="s">
        <v>198</v>
      </c>
    </row>
    <row r="32" spans="1:7">
      <c r="A32" s="2">
        <v>312329</v>
      </c>
      <c r="B32" t="str">
        <f t="shared" si="2"/>
        <v>31232900</v>
      </c>
      <c r="C32" t="str">
        <f t="shared" si="3"/>
        <v>n31232900</v>
      </c>
      <c r="D32" s="2" t="s">
        <v>95</v>
      </c>
      <c r="E32" t="s">
        <v>170</v>
      </c>
      <c r="F32" t="s">
        <v>161</v>
      </c>
      <c r="G32" t="s">
        <v>198</v>
      </c>
    </row>
    <row r="33" spans="1:7">
      <c r="A33" s="2">
        <v>312322</v>
      </c>
      <c r="B33" t="str">
        <f t="shared" si="2"/>
        <v>31232200</v>
      </c>
      <c r="C33" t="str">
        <f t="shared" si="3"/>
        <v>n31232200</v>
      </c>
      <c r="D33" s="2" t="s">
        <v>96</v>
      </c>
      <c r="E33" t="s">
        <v>170</v>
      </c>
      <c r="F33" t="s">
        <v>161</v>
      </c>
      <c r="G33" t="s">
        <v>198</v>
      </c>
    </row>
    <row r="34" spans="1:7">
      <c r="A34" s="2">
        <v>312412</v>
      </c>
      <c r="B34" t="str">
        <f t="shared" si="2"/>
        <v>31241200</v>
      </c>
      <c r="C34" t="str">
        <f t="shared" si="3"/>
        <v>n31241200</v>
      </c>
      <c r="D34" s="2" t="s">
        <v>97</v>
      </c>
      <c r="E34" t="s">
        <v>170</v>
      </c>
      <c r="F34" t="s">
        <v>161</v>
      </c>
      <c r="G34" t="s">
        <v>198</v>
      </c>
    </row>
    <row r="35" spans="1:7">
      <c r="A35" s="2">
        <v>312422</v>
      </c>
      <c r="B35" t="str">
        <f t="shared" si="2"/>
        <v>31242200</v>
      </c>
      <c r="C35" t="str">
        <f t="shared" si="3"/>
        <v>n31242200</v>
      </c>
      <c r="D35" s="2" t="s">
        <v>98</v>
      </c>
      <c r="E35" t="s">
        <v>170</v>
      </c>
      <c r="F35" t="s">
        <v>161</v>
      </c>
      <c r="G35" t="s">
        <v>198</v>
      </c>
    </row>
    <row r="36" spans="1:7">
      <c r="A36" s="2">
        <v>32119</v>
      </c>
      <c r="B36" t="str">
        <f t="shared" si="2"/>
        <v>32119000</v>
      </c>
      <c r="C36" t="str">
        <f t="shared" si="3"/>
        <v>n32119000</v>
      </c>
      <c r="D36" s="2" t="s">
        <v>99</v>
      </c>
      <c r="E36" t="s">
        <v>170</v>
      </c>
      <c r="F36" t="s">
        <v>161</v>
      </c>
      <c r="G36" t="s">
        <v>199</v>
      </c>
    </row>
    <row r="37" spans="1:7">
      <c r="A37" s="2">
        <v>32112</v>
      </c>
      <c r="B37" t="str">
        <f t="shared" si="2"/>
        <v>32112000</v>
      </c>
      <c r="C37" t="str">
        <f t="shared" si="3"/>
        <v>n32112000</v>
      </c>
      <c r="D37" s="2" t="s">
        <v>100</v>
      </c>
      <c r="E37" t="s">
        <v>170</v>
      </c>
      <c r="F37" t="s">
        <v>161</v>
      </c>
      <c r="G37" t="s">
        <v>199</v>
      </c>
    </row>
    <row r="38" spans="1:7">
      <c r="A38" s="2">
        <v>321219</v>
      </c>
      <c r="B38" t="str">
        <f t="shared" si="2"/>
        <v>32121900</v>
      </c>
      <c r="C38" t="str">
        <f t="shared" si="3"/>
        <v>n32121900</v>
      </c>
      <c r="D38" s="2" t="s">
        <v>101</v>
      </c>
      <c r="E38" t="s">
        <v>170</v>
      </c>
      <c r="F38" t="s">
        <v>161</v>
      </c>
      <c r="G38" t="s">
        <v>199</v>
      </c>
    </row>
    <row r="39" spans="1:7">
      <c r="A39" s="2">
        <v>321212</v>
      </c>
      <c r="B39" t="str">
        <f t="shared" si="2"/>
        <v>32121200</v>
      </c>
      <c r="C39" t="str">
        <f t="shared" si="3"/>
        <v>n32121200</v>
      </c>
      <c r="D39" s="2" t="s">
        <v>102</v>
      </c>
      <c r="E39" t="s">
        <v>170</v>
      </c>
      <c r="F39" t="s">
        <v>161</v>
      </c>
      <c r="G39" t="s">
        <v>199</v>
      </c>
    </row>
    <row r="40" spans="1:7">
      <c r="A40" s="2">
        <v>321229</v>
      </c>
      <c r="B40" t="str">
        <f t="shared" si="2"/>
        <v>32122900</v>
      </c>
      <c r="C40" t="str">
        <f t="shared" si="3"/>
        <v>n32122900</v>
      </c>
      <c r="D40" s="2" t="s">
        <v>103</v>
      </c>
      <c r="E40" t="s">
        <v>170</v>
      </c>
      <c r="F40" t="s">
        <v>161</v>
      </c>
      <c r="G40" t="s">
        <v>199</v>
      </c>
    </row>
    <row r="41" spans="1:7">
      <c r="A41" s="2">
        <v>321222</v>
      </c>
      <c r="B41" t="str">
        <f t="shared" si="2"/>
        <v>32122200</v>
      </c>
      <c r="C41" t="str">
        <f t="shared" si="3"/>
        <v>n32122200</v>
      </c>
      <c r="D41" s="2" t="s">
        <v>104</v>
      </c>
      <c r="E41" t="s">
        <v>170</v>
      </c>
      <c r="F41" t="s">
        <v>161</v>
      </c>
      <c r="G41" t="s">
        <v>199</v>
      </c>
    </row>
    <row r="42" spans="1:7">
      <c r="A42" s="2">
        <v>32139</v>
      </c>
      <c r="B42" t="str">
        <f t="shared" si="2"/>
        <v>32139000</v>
      </c>
      <c r="C42" t="str">
        <f t="shared" si="3"/>
        <v>n32139000</v>
      </c>
      <c r="D42" s="2" t="s">
        <v>105</v>
      </c>
      <c r="E42" t="s">
        <v>170</v>
      </c>
      <c r="F42" t="s">
        <v>161</v>
      </c>
      <c r="G42" t="s">
        <v>199</v>
      </c>
    </row>
    <row r="43" spans="1:7">
      <c r="A43" s="2">
        <v>32132</v>
      </c>
      <c r="B43" t="str">
        <f t="shared" si="2"/>
        <v>32132000</v>
      </c>
      <c r="C43" t="str">
        <f t="shared" si="3"/>
        <v>n32132000</v>
      </c>
      <c r="D43" s="2" t="s">
        <v>106</v>
      </c>
      <c r="E43" t="s">
        <v>170</v>
      </c>
      <c r="F43" t="s">
        <v>161</v>
      </c>
      <c r="G43" t="s">
        <v>199</v>
      </c>
    </row>
    <row r="44" spans="1:7">
      <c r="A44" s="2">
        <v>32142</v>
      </c>
      <c r="B44" t="str">
        <f t="shared" si="2"/>
        <v>32142000</v>
      </c>
      <c r="C44" t="str">
        <f t="shared" si="3"/>
        <v>n32142000</v>
      </c>
      <c r="D44" s="2" t="s">
        <v>107</v>
      </c>
      <c r="E44" t="s">
        <v>170</v>
      </c>
      <c r="F44" t="s">
        <v>161</v>
      </c>
      <c r="G44" t="s">
        <v>199</v>
      </c>
    </row>
    <row r="45" spans="1:7">
      <c r="A45" s="2">
        <v>32219</v>
      </c>
      <c r="B45" t="str">
        <f t="shared" si="2"/>
        <v>32219000</v>
      </c>
      <c r="C45" t="str">
        <f t="shared" si="3"/>
        <v>n32219000</v>
      </c>
      <c r="D45" s="2" t="s">
        <v>108</v>
      </c>
      <c r="E45" t="s">
        <v>170</v>
      </c>
      <c r="F45" t="s">
        <v>161</v>
      </c>
      <c r="G45" t="s">
        <v>200</v>
      </c>
    </row>
    <row r="46" spans="1:7">
      <c r="A46" s="2">
        <v>32212</v>
      </c>
      <c r="B46" t="str">
        <f t="shared" si="2"/>
        <v>32212000</v>
      </c>
      <c r="C46" t="str">
        <f t="shared" si="3"/>
        <v>n32212000</v>
      </c>
      <c r="D46" s="2" t="s">
        <v>109</v>
      </c>
      <c r="E46" t="s">
        <v>170</v>
      </c>
      <c r="F46" t="s">
        <v>161</v>
      </c>
      <c r="G46" t="s">
        <v>200</v>
      </c>
    </row>
    <row r="47" spans="1:7">
      <c r="A47" s="2">
        <v>32229</v>
      </c>
      <c r="B47" t="str">
        <f t="shared" si="2"/>
        <v>32229000</v>
      </c>
      <c r="C47" t="str">
        <f t="shared" si="3"/>
        <v>n32229000</v>
      </c>
      <c r="D47" s="2" t="s">
        <v>110</v>
      </c>
      <c r="E47" t="s">
        <v>170</v>
      </c>
      <c r="F47" t="s">
        <v>161</v>
      </c>
      <c r="G47" t="s">
        <v>200</v>
      </c>
    </row>
    <row r="48" spans="1:7">
      <c r="A48" s="2">
        <v>32222</v>
      </c>
      <c r="B48" t="str">
        <f t="shared" si="2"/>
        <v>32222000</v>
      </c>
      <c r="C48" t="str">
        <f t="shared" si="3"/>
        <v>n32222000</v>
      </c>
      <c r="D48" s="2" t="s">
        <v>111</v>
      </c>
      <c r="E48" t="s">
        <v>170</v>
      </c>
      <c r="F48" t="s">
        <v>161</v>
      </c>
      <c r="G48" t="s">
        <v>200</v>
      </c>
    </row>
    <row r="49" spans="1:7">
      <c r="A49" s="2">
        <v>32239</v>
      </c>
      <c r="B49" t="str">
        <f t="shared" si="2"/>
        <v>32239000</v>
      </c>
      <c r="C49" t="str">
        <f t="shared" si="3"/>
        <v>n32239000</v>
      </c>
      <c r="D49" s="2" t="s">
        <v>112</v>
      </c>
      <c r="E49" t="s">
        <v>170</v>
      </c>
      <c r="F49" t="s">
        <v>161</v>
      </c>
      <c r="G49" t="s">
        <v>200</v>
      </c>
    </row>
    <row r="50" spans="1:7">
      <c r="A50" s="2">
        <v>32232</v>
      </c>
      <c r="B50" t="str">
        <f t="shared" si="2"/>
        <v>32232000</v>
      </c>
      <c r="C50" t="str">
        <f t="shared" si="3"/>
        <v>n32232000</v>
      </c>
      <c r="D50" s="2" t="s">
        <v>113</v>
      </c>
      <c r="E50" t="s">
        <v>170</v>
      </c>
      <c r="F50" t="s">
        <v>161</v>
      </c>
      <c r="G50" t="s">
        <v>200</v>
      </c>
    </row>
    <row r="51" spans="1:7" s="4" customFormat="1">
      <c r="A51" s="3">
        <v>32242</v>
      </c>
      <c r="B51" s="4" t="str">
        <f t="shared" si="2"/>
        <v>32242000</v>
      </c>
      <c r="C51" s="4" t="str">
        <f t="shared" si="3"/>
        <v>n32242000</v>
      </c>
      <c r="D51" s="3" t="s">
        <v>114</v>
      </c>
      <c r="E51" s="4" t="s">
        <v>170</v>
      </c>
      <c r="F51" s="4" t="s">
        <v>161</v>
      </c>
      <c r="G51" s="4" t="s">
        <v>200</v>
      </c>
    </row>
    <row r="52" spans="1:7">
      <c r="A52" s="2">
        <v>419</v>
      </c>
      <c r="B52" t="str">
        <f t="shared" si="2"/>
        <v>41900000</v>
      </c>
      <c r="C52" t="str">
        <f t="shared" si="3"/>
        <v>n41900000</v>
      </c>
      <c r="D52" s="2" t="s">
        <v>115</v>
      </c>
      <c r="E52" t="s">
        <v>170</v>
      </c>
      <c r="F52" t="s">
        <v>161</v>
      </c>
      <c r="G52" t="s">
        <v>199</v>
      </c>
    </row>
    <row r="53" spans="1:7">
      <c r="A53" s="2">
        <v>412</v>
      </c>
      <c r="B53" t="str">
        <f t="shared" si="2"/>
        <v>41200000</v>
      </c>
      <c r="C53" t="str">
        <f t="shared" si="3"/>
        <v>n41200000</v>
      </c>
      <c r="D53" s="2" t="s">
        <v>116</v>
      </c>
      <c r="E53" t="s">
        <v>170</v>
      </c>
      <c r="F53" t="s">
        <v>161</v>
      </c>
      <c r="G53" t="s">
        <v>199</v>
      </c>
    </row>
    <row r="54" spans="1:7">
      <c r="A54" s="2">
        <v>4211119</v>
      </c>
      <c r="B54" t="str">
        <f t="shared" si="2"/>
        <v>42111190</v>
      </c>
      <c r="C54" t="str">
        <f t="shared" si="3"/>
        <v>n42111190</v>
      </c>
      <c r="D54" s="2" t="s">
        <v>117</v>
      </c>
      <c r="E54" t="s">
        <v>170</v>
      </c>
      <c r="F54" t="s">
        <v>165</v>
      </c>
      <c r="G54" t="s">
        <v>197</v>
      </c>
    </row>
    <row r="55" spans="1:7">
      <c r="A55" s="2">
        <v>4211112</v>
      </c>
      <c r="B55" t="str">
        <f t="shared" si="2"/>
        <v>42111120</v>
      </c>
      <c r="C55" t="str">
        <f t="shared" si="3"/>
        <v>n42111120</v>
      </c>
      <c r="D55" s="2" t="s">
        <v>118</v>
      </c>
      <c r="E55" t="s">
        <v>170</v>
      </c>
      <c r="F55" t="s">
        <v>165</v>
      </c>
      <c r="G55" t="s">
        <v>197</v>
      </c>
    </row>
    <row r="56" spans="1:7">
      <c r="A56" s="2">
        <v>4211129</v>
      </c>
      <c r="B56" t="str">
        <f t="shared" si="2"/>
        <v>42111290</v>
      </c>
      <c r="C56" t="str">
        <f t="shared" si="3"/>
        <v>n42111290</v>
      </c>
      <c r="D56" s="2" t="s">
        <v>119</v>
      </c>
      <c r="E56" t="s">
        <v>170</v>
      </c>
      <c r="F56" t="s">
        <v>165</v>
      </c>
      <c r="G56" t="s">
        <v>198</v>
      </c>
    </row>
    <row r="57" spans="1:7">
      <c r="A57" s="2">
        <v>4211122</v>
      </c>
      <c r="B57" t="str">
        <f t="shared" si="2"/>
        <v>42111220</v>
      </c>
      <c r="C57" t="str">
        <f t="shared" si="3"/>
        <v>n42111220</v>
      </c>
      <c r="D57" s="2" t="s">
        <v>120</v>
      </c>
      <c r="E57" t="s">
        <v>170</v>
      </c>
      <c r="F57" t="s">
        <v>165</v>
      </c>
      <c r="G57" t="s">
        <v>198</v>
      </c>
    </row>
    <row r="58" spans="1:7">
      <c r="A58" s="2">
        <v>4211219</v>
      </c>
      <c r="B58" t="str">
        <f t="shared" si="2"/>
        <v>42112190</v>
      </c>
      <c r="C58" t="str">
        <f t="shared" si="3"/>
        <v>n42112190</v>
      </c>
      <c r="D58" s="2" t="s">
        <v>121</v>
      </c>
      <c r="E58" t="s">
        <v>170</v>
      </c>
      <c r="F58" t="s">
        <v>165</v>
      </c>
      <c r="G58" t="s">
        <v>197</v>
      </c>
    </row>
    <row r="59" spans="1:7">
      <c r="A59" s="2">
        <v>4211212</v>
      </c>
      <c r="B59" t="str">
        <f t="shared" si="2"/>
        <v>42112120</v>
      </c>
      <c r="C59" t="str">
        <f t="shared" si="3"/>
        <v>n42112120</v>
      </c>
      <c r="D59" s="2" t="s">
        <v>122</v>
      </c>
      <c r="E59" t="s">
        <v>170</v>
      </c>
      <c r="F59" t="s">
        <v>165</v>
      </c>
      <c r="G59" t="s">
        <v>197</v>
      </c>
    </row>
    <row r="60" spans="1:7">
      <c r="A60" s="2">
        <v>4211229</v>
      </c>
      <c r="B60" t="str">
        <f t="shared" si="2"/>
        <v>42112290</v>
      </c>
      <c r="C60" t="str">
        <f t="shared" si="3"/>
        <v>n42112290</v>
      </c>
      <c r="D60" s="2" t="s">
        <v>123</v>
      </c>
      <c r="E60" t="s">
        <v>170</v>
      </c>
      <c r="F60" t="s">
        <v>165</v>
      </c>
      <c r="G60" t="s">
        <v>198</v>
      </c>
    </row>
    <row r="61" spans="1:7">
      <c r="A61" s="2">
        <v>4211222</v>
      </c>
      <c r="B61" t="str">
        <f t="shared" si="2"/>
        <v>42112220</v>
      </c>
      <c r="C61" t="str">
        <f t="shared" si="3"/>
        <v>n42112220</v>
      </c>
      <c r="D61" s="2" t="s">
        <v>124</v>
      </c>
      <c r="E61" t="s">
        <v>170</v>
      </c>
      <c r="F61" t="s">
        <v>165</v>
      </c>
      <c r="G61" t="s">
        <v>198</v>
      </c>
    </row>
    <row r="62" spans="1:7">
      <c r="A62" s="2">
        <v>4212119</v>
      </c>
      <c r="B62" t="str">
        <f t="shared" si="2"/>
        <v>42121190</v>
      </c>
      <c r="C62" t="str">
        <f t="shared" si="3"/>
        <v>n42121190</v>
      </c>
      <c r="D62" s="2" t="s">
        <v>125</v>
      </c>
      <c r="E62" t="s">
        <v>170</v>
      </c>
      <c r="F62" t="s">
        <v>165</v>
      </c>
      <c r="G62" t="s">
        <v>199</v>
      </c>
    </row>
    <row r="63" spans="1:7">
      <c r="A63" s="2">
        <v>4212112</v>
      </c>
      <c r="B63" t="str">
        <f t="shared" si="2"/>
        <v>42121120</v>
      </c>
      <c r="C63" t="str">
        <f t="shared" si="3"/>
        <v>n42121120</v>
      </c>
      <c r="D63" s="2" t="s">
        <v>126</v>
      </c>
      <c r="E63" t="s">
        <v>170</v>
      </c>
      <c r="F63" t="s">
        <v>165</v>
      </c>
      <c r="G63" t="s">
        <v>199</v>
      </c>
    </row>
    <row r="64" spans="1:7">
      <c r="A64" s="2">
        <v>4212129</v>
      </c>
      <c r="B64" t="str">
        <f t="shared" si="2"/>
        <v>42121290</v>
      </c>
      <c r="C64" t="str">
        <f t="shared" si="3"/>
        <v>n42121290</v>
      </c>
      <c r="D64" s="2" t="s">
        <v>127</v>
      </c>
      <c r="E64" t="s">
        <v>170</v>
      </c>
      <c r="F64" t="s">
        <v>165</v>
      </c>
      <c r="G64" t="s">
        <v>199</v>
      </c>
    </row>
    <row r="65" spans="1:7">
      <c r="A65" s="2">
        <v>4212122</v>
      </c>
      <c r="B65" t="str">
        <f t="shared" si="2"/>
        <v>42121220</v>
      </c>
      <c r="C65" t="str">
        <f t="shared" si="3"/>
        <v>n42121220</v>
      </c>
      <c r="D65" s="2" t="s">
        <v>128</v>
      </c>
      <c r="E65" t="s">
        <v>170</v>
      </c>
      <c r="F65" t="s">
        <v>165</v>
      </c>
      <c r="G65" t="s">
        <v>199</v>
      </c>
    </row>
    <row r="66" spans="1:7">
      <c r="A66" s="2">
        <v>4212219</v>
      </c>
      <c r="B66" t="str">
        <f t="shared" si="2"/>
        <v>42122190</v>
      </c>
      <c r="C66" t="str">
        <f t="shared" si="3"/>
        <v>n42122190</v>
      </c>
      <c r="D66" s="2" t="s">
        <v>129</v>
      </c>
      <c r="E66" t="s">
        <v>170</v>
      </c>
      <c r="F66" t="s">
        <v>165</v>
      </c>
      <c r="G66" t="s">
        <v>200</v>
      </c>
    </row>
    <row r="67" spans="1:7">
      <c r="A67" s="2">
        <v>4212212</v>
      </c>
      <c r="B67" t="str">
        <f t="shared" si="2"/>
        <v>42122120</v>
      </c>
      <c r="C67" t="str">
        <f t="shared" si="3"/>
        <v>n42122120</v>
      </c>
      <c r="D67" s="2" t="s">
        <v>130</v>
      </c>
      <c r="E67" t="s">
        <v>170</v>
      </c>
      <c r="F67" t="s">
        <v>165</v>
      </c>
      <c r="G67" t="s">
        <v>200</v>
      </c>
    </row>
    <row r="68" spans="1:7">
      <c r="A68" s="2">
        <v>4212229</v>
      </c>
      <c r="B68" t="str">
        <f t="shared" si="2"/>
        <v>42122290</v>
      </c>
      <c r="C68" t="str">
        <f t="shared" si="3"/>
        <v>n42122290</v>
      </c>
      <c r="D68" s="2" t="s">
        <v>131</v>
      </c>
      <c r="E68" t="s">
        <v>170</v>
      </c>
      <c r="F68" t="s">
        <v>165</v>
      </c>
      <c r="G68" t="s">
        <v>200</v>
      </c>
    </row>
    <row r="69" spans="1:7">
      <c r="A69" s="2">
        <v>4212222</v>
      </c>
      <c r="B69" t="str">
        <f t="shared" ref="B69:B96" si="4">A69&amp;REPT("0",8-LEN(A69))</f>
        <v>42122220</v>
      </c>
      <c r="C69" t="str">
        <f t="shared" ref="C69:C96" si="5">_xlfn.CONCAT("n",B69)</f>
        <v>n42122220</v>
      </c>
      <c r="D69" s="2" t="s">
        <v>132</v>
      </c>
      <c r="E69" t="s">
        <v>170</v>
      </c>
      <c r="F69" t="s">
        <v>165</v>
      </c>
      <c r="G69" t="s">
        <v>200</v>
      </c>
    </row>
    <row r="70" spans="1:7">
      <c r="A70" s="2">
        <v>422119</v>
      </c>
      <c r="B70" t="str">
        <f t="shared" si="4"/>
        <v>42211900</v>
      </c>
      <c r="C70" t="str">
        <f t="shared" si="5"/>
        <v>n42211900</v>
      </c>
      <c r="D70" s="2" t="s">
        <v>133</v>
      </c>
      <c r="E70" t="s">
        <v>170</v>
      </c>
      <c r="F70" t="s">
        <v>202</v>
      </c>
      <c r="G70" t="s">
        <v>197</v>
      </c>
    </row>
    <row r="71" spans="1:7">
      <c r="A71" s="2">
        <v>422112</v>
      </c>
      <c r="B71" t="str">
        <f t="shared" si="4"/>
        <v>42211200</v>
      </c>
      <c r="C71" t="str">
        <f t="shared" si="5"/>
        <v>n42211200</v>
      </c>
      <c r="D71" s="2" t="s">
        <v>134</v>
      </c>
      <c r="E71" t="s">
        <v>170</v>
      </c>
      <c r="F71" t="s">
        <v>164</v>
      </c>
      <c r="G71" t="s">
        <v>197</v>
      </c>
    </row>
    <row r="72" spans="1:7">
      <c r="A72" s="2">
        <v>422129</v>
      </c>
      <c r="B72" t="str">
        <f t="shared" si="4"/>
        <v>42212900</v>
      </c>
      <c r="C72" t="str">
        <f t="shared" si="5"/>
        <v>n42212900</v>
      </c>
      <c r="D72" s="2" t="s">
        <v>135</v>
      </c>
      <c r="E72" t="s">
        <v>170</v>
      </c>
      <c r="F72" t="s">
        <v>202</v>
      </c>
      <c r="G72" t="s">
        <v>198</v>
      </c>
    </row>
    <row r="73" spans="1:7">
      <c r="A73" s="2">
        <v>422122</v>
      </c>
      <c r="B73" t="str">
        <f t="shared" si="4"/>
        <v>42212200</v>
      </c>
      <c r="C73" t="str">
        <f t="shared" si="5"/>
        <v>n42212200</v>
      </c>
      <c r="D73" s="2" t="s">
        <v>136</v>
      </c>
      <c r="E73" t="s">
        <v>170</v>
      </c>
      <c r="F73" t="s">
        <v>164</v>
      </c>
      <c r="G73" t="s">
        <v>198</v>
      </c>
    </row>
    <row r="74" spans="1:7">
      <c r="A74" s="2">
        <v>4222119</v>
      </c>
      <c r="B74" t="str">
        <f t="shared" si="4"/>
        <v>42221190</v>
      </c>
      <c r="C74" t="str">
        <f t="shared" si="5"/>
        <v>n42221190</v>
      </c>
      <c r="D74" s="2" t="s">
        <v>137</v>
      </c>
      <c r="E74" t="s">
        <v>170</v>
      </c>
      <c r="F74" t="s">
        <v>202</v>
      </c>
      <c r="G74" t="s">
        <v>199</v>
      </c>
    </row>
    <row r="75" spans="1:7">
      <c r="A75" s="2">
        <v>4222112</v>
      </c>
      <c r="B75" t="str">
        <f t="shared" si="4"/>
        <v>42221120</v>
      </c>
      <c r="C75" t="str">
        <f t="shared" si="5"/>
        <v>n42221120</v>
      </c>
      <c r="D75" s="2" t="s">
        <v>138</v>
      </c>
      <c r="E75" t="s">
        <v>170</v>
      </c>
      <c r="F75" t="s">
        <v>164</v>
      </c>
      <c r="G75" t="s">
        <v>199</v>
      </c>
    </row>
    <row r="76" spans="1:7">
      <c r="A76" s="2">
        <v>42221219</v>
      </c>
      <c r="B76" t="str">
        <f t="shared" si="4"/>
        <v>42221219</v>
      </c>
      <c r="C76" t="str">
        <f t="shared" si="5"/>
        <v>n42221219</v>
      </c>
      <c r="D76" s="2" t="s">
        <v>139</v>
      </c>
      <c r="E76" t="s">
        <v>170</v>
      </c>
      <c r="F76" t="s">
        <v>202</v>
      </c>
      <c r="G76" t="s">
        <v>199</v>
      </c>
    </row>
    <row r="77" spans="1:7">
      <c r="A77" s="2">
        <v>42221212</v>
      </c>
      <c r="B77" t="str">
        <f t="shared" si="4"/>
        <v>42221212</v>
      </c>
      <c r="C77" t="str">
        <f t="shared" si="5"/>
        <v>n42221212</v>
      </c>
      <c r="D77" s="2" t="s">
        <v>140</v>
      </c>
      <c r="E77" t="s">
        <v>170</v>
      </c>
      <c r="F77" t="s">
        <v>164</v>
      </c>
      <c r="G77" t="s">
        <v>199</v>
      </c>
    </row>
    <row r="78" spans="1:7">
      <c r="A78" s="2">
        <v>42221229</v>
      </c>
      <c r="B78" t="str">
        <f t="shared" si="4"/>
        <v>42221229</v>
      </c>
      <c r="C78" t="str">
        <f t="shared" si="5"/>
        <v>n42221229</v>
      </c>
      <c r="D78" s="2" t="s">
        <v>141</v>
      </c>
      <c r="E78" t="s">
        <v>170</v>
      </c>
      <c r="F78" t="s">
        <v>202</v>
      </c>
      <c r="G78" t="s">
        <v>199</v>
      </c>
    </row>
    <row r="79" spans="1:7">
      <c r="A79" s="2">
        <v>42221222</v>
      </c>
      <c r="B79" t="str">
        <f t="shared" si="4"/>
        <v>42221222</v>
      </c>
      <c r="C79" t="str">
        <f t="shared" si="5"/>
        <v>n42221222</v>
      </c>
      <c r="D79" s="2" t="s">
        <v>142</v>
      </c>
      <c r="E79" t="s">
        <v>170</v>
      </c>
      <c r="F79" t="s">
        <v>164</v>
      </c>
      <c r="G79" t="s">
        <v>199</v>
      </c>
    </row>
    <row r="80" spans="1:7">
      <c r="A80" s="2">
        <v>422229</v>
      </c>
      <c r="B80" t="str">
        <f t="shared" si="4"/>
        <v>42222900</v>
      </c>
      <c r="C80" t="str">
        <f t="shared" si="5"/>
        <v>n42222900</v>
      </c>
      <c r="D80" s="2" t="s">
        <v>143</v>
      </c>
      <c r="E80" t="s">
        <v>170</v>
      </c>
      <c r="F80" t="s">
        <v>202</v>
      </c>
      <c r="G80" t="s">
        <v>200</v>
      </c>
    </row>
    <row r="81" spans="1:7" s="4" customFormat="1">
      <c r="A81" s="3">
        <v>422222</v>
      </c>
      <c r="B81" s="4" t="str">
        <f t="shared" si="4"/>
        <v>42222200</v>
      </c>
      <c r="C81" s="4" t="str">
        <f t="shared" si="5"/>
        <v>n42222200</v>
      </c>
      <c r="D81" s="3" t="s">
        <v>144</v>
      </c>
      <c r="E81" s="4" t="s">
        <v>170</v>
      </c>
      <c r="F81" s="4" t="s">
        <v>164</v>
      </c>
      <c r="G81" s="4" t="s">
        <v>200</v>
      </c>
    </row>
    <row r="82" spans="1:7">
      <c r="A82" s="2">
        <v>51</v>
      </c>
      <c r="B82" t="str">
        <f t="shared" si="4"/>
        <v>51000000</v>
      </c>
      <c r="C82" t="str">
        <f t="shared" si="5"/>
        <v>n51000000</v>
      </c>
      <c r="D82" s="2" t="s">
        <v>66</v>
      </c>
      <c r="E82" t="s">
        <v>171</v>
      </c>
      <c r="F82" t="s">
        <v>162</v>
      </c>
      <c r="G82" t="s">
        <v>201</v>
      </c>
    </row>
    <row r="83" spans="1:7">
      <c r="A83" s="2">
        <v>5219</v>
      </c>
      <c r="B83" t="str">
        <f t="shared" si="4"/>
        <v>52190000</v>
      </c>
      <c r="C83" t="str">
        <f t="shared" si="5"/>
        <v>n52190000</v>
      </c>
      <c r="D83" s="2" t="s">
        <v>145</v>
      </c>
      <c r="E83" t="s">
        <v>171</v>
      </c>
      <c r="F83" t="s">
        <v>163</v>
      </c>
      <c r="G83" t="s">
        <v>201</v>
      </c>
    </row>
    <row r="84" spans="1:7">
      <c r="A84" s="2">
        <v>5212</v>
      </c>
      <c r="B84" t="str">
        <f t="shared" si="4"/>
        <v>52120000</v>
      </c>
      <c r="C84" t="str">
        <f t="shared" si="5"/>
        <v>n52120000</v>
      </c>
      <c r="D84" s="2" t="s">
        <v>146</v>
      </c>
      <c r="E84" t="s">
        <v>171</v>
      </c>
      <c r="F84" t="s">
        <v>163</v>
      </c>
      <c r="G84" t="s">
        <v>201</v>
      </c>
    </row>
    <row r="85" spans="1:7">
      <c r="A85" s="2">
        <v>5222</v>
      </c>
      <c r="B85" t="str">
        <f t="shared" si="4"/>
        <v>52220000</v>
      </c>
      <c r="C85" t="str">
        <f t="shared" si="5"/>
        <v>n52220000</v>
      </c>
      <c r="D85" s="2" t="s">
        <v>147</v>
      </c>
      <c r="E85" t="s">
        <v>171</v>
      </c>
      <c r="F85" t="s">
        <v>163</v>
      </c>
      <c r="G85" t="s">
        <v>201</v>
      </c>
    </row>
    <row r="86" spans="1:7">
      <c r="A86" s="2">
        <v>5239</v>
      </c>
      <c r="B86" t="str">
        <f t="shared" si="4"/>
        <v>52390000</v>
      </c>
      <c r="C86" t="str">
        <f t="shared" si="5"/>
        <v>n52390000</v>
      </c>
      <c r="D86" s="2" t="s">
        <v>148</v>
      </c>
      <c r="E86" t="s">
        <v>171</v>
      </c>
      <c r="F86" t="s">
        <v>163</v>
      </c>
      <c r="G86" t="s">
        <v>201</v>
      </c>
    </row>
    <row r="87" spans="1:7">
      <c r="A87" s="2">
        <v>5232</v>
      </c>
      <c r="B87" t="str">
        <f t="shared" si="4"/>
        <v>52320000</v>
      </c>
      <c r="C87" t="str">
        <f t="shared" si="5"/>
        <v>n52320000</v>
      </c>
      <c r="D87" s="2" t="s">
        <v>149</v>
      </c>
      <c r="E87" t="s">
        <v>171</v>
      </c>
      <c r="F87" t="s">
        <v>163</v>
      </c>
      <c r="G87" t="s">
        <v>201</v>
      </c>
    </row>
    <row r="88" spans="1:7">
      <c r="A88" s="2">
        <v>539</v>
      </c>
      <c r="B88" t="str">
        <f t="shared" si="4"/>
        <v>53900000</v>
      </c>
      <c r="C88" t="str">
        <f t="shared" si="5"/>
        <v>n53900000</v>
      </c>
      <c r="D88" s="2" t="s">
        <v>150</v>
      </c>
      <c r="E88" t="s">
        <v>171</v>
      </c>
      <c r="F88" t="s">
        <v>166</v>
      </c>
      <c r="G88" t="s">
        <v>201</v>
      </c>
    </row>
    <row r="89" spans="1:7" s="4" customFormat="1">
      <c r="A89" s="3">
        <v>532</v>
      </c>
      <c r="B89" s="4" t="str">
        <f t="shared" si="4"/>
        <v>53200000</v>
      </c>
      <c r="C89" s="4" t="str">
        <f t="shared" si="5"/>
        <v>n53200000</v>
      </c>
      <c r="D89" s="3" t="s">
        <v>151</v>
      </c>
      <c r="E89" s="4" t="s">
        <v>171</v>
      </c>
      <c r="F89" s="4" t="s">
        <v>166</v>
      </c>
      <c r="G89" s="4" t="s">
        <v>201</v>
      </c>
    </row>
    <row r="90" spans="1:7">
      <c r="A90" s="2">
        <v>61</v>
      </c>
      <c r="B90" t="str">
        <f t="shared" si="4"/>
        <v>61000000</v>
      </c>
      <c r="C90" t="str">
        <f t="shared" si="5"/>
        <v>n61000000</v>
      </c>
      <c r="D90" s="2" t="s">
        <v>152</v>
      </c>
      <c r="E90" t="s">
        <v>172</v>
      </c>
      <c r="F90" t="s">
        <v>167</v>
      </c>
      <c r="G90" t="s">
        <v>201</v>
      </c>
    </row>
    <row r="91" spans="1:7">
      <c r="A91" s="2">
        <v>6212</v>
      </c>
      <c r="B91" t="str">
        <f t="shared" si="4"/>
        <v>62120000</v>
      </c>
      <c r="C91" t="str">
        <f t="shared" si="5"/>
        <v>n62120000</v>
      </c>
      <c r="D91" s="2" t="s">
        <v>153</v>
      </c>
      <c r="E91" t="s">
        <v>172</v>
      </c>
      <c r="F91" t="s">
        <v>168</v>
      </c>
      <c r="G91" t="s">
        <v>201</v>
      </c>
    </row>
    <row r="92" spans="1:7">
      <c r="A92" s="2">
        <v>6229</v>
      </c>
      <c r="B92" t="str">
        <f t="shared" si="4"/>
        <v>62290000</v>
      </c>
      <c r="C92" t="str">
        <f t="shared" si="5"/>
        <v>n62290000</v>
      </c>
      <c r="D92" s="2" t="s">
        <v>154</v>
      </c>
      <c r="E92" t="s">
        <v>172</v>
      </c>
      <c r="F92" t="s">
        <v>168</v>
      </c>
      <c r="G92" t="s">
        <v>201</v>
      </c>
    </row>
    <row r="93" spans="1:7">
      <c r="A93" s="2">
        <v>6222</v>
      </c>
      <c r="B93" t="str">
        <f t="shared" si="4"/>
        <v>62220000</v>
      </c>
      <c r="C93" t="str">
        <f t="shared" si="5"/>
        <v>n62220000</v>
      </c>
      <c r="D93" s="2" t="s">
        <v>155</v>
      </c>
      <c r="E93" t="s">
        <v>172</v>
      </c>
      <c r="F93" t="s">
        <v>168</v>
      </c>
      <c r="G93" t="s">
        <v>201</v>
      </c>
    </row>
    <row r="94" spans="1:7">
      <c r="A94" s="2">
        <v>639</v>
      </c>
      <c r="B94" t="str">
        <f t="shared" si="4"/>
        <v>63900000</v>
      </c>
      <c r="C94" t="str">
        <f t="shared" si="5"/>
        <v>n63900000</v>
      </c>
      <c r="D94" s="2" t="s">
        <v>156</v>
      </c>
      <c r="E94" t="s">
        <v>172</v>
      </c>
      <c r="F94" t="s">
        <v>169</v>
      </c>
      <c r="G94" t="s">
        <v>201</v>
      </c>
    </row>
    <row r="95" spans="1:7" s="4" customFormat="1">
      <c r="A95" s="3">
        <v>632</v>
      </c>
      <c r="B95" s="4" t="str">
        <f t="shared" si="4"/>
        <v>63200000</v>
      </c>
      <c r="C95" s="4" t="str">
        <f t="shared" si="5"/>
        <v>n63200000</v>
      </c>
      <c r="D95" s="3" t="s">
        <v>157</v>
      </c>
      <c r="E95" s="4" t="s">
        <v>172</v>
      </c>
      <c r="F95" s="4" t="s">
        <v>169</v>
      </c>
      <c r="G95" s="4" t="s">
        <v>201</v>
      </c>
    </row>
    <row r="96" spans="1:7">
      <c r="A96" s="2">
        <v>7</v>
      </c>
      <c r="B96" t="str">
        <f t="shared" si="4"/>
        <v>70000000</v>
      </c>
      <c r="C96" t="str">
        <f t="shared" si="5"/>
        <v>n70000000</v>
      </c>
      <c r="D96" s="2" t="s">
        <v>173</v>
      </c>
      <c r="E96" t="s">
        <v>174</v>
      </c>
      <c r="F96" t="s">
        <v>174</v>
      </c>
      <c r="G96" t="s">
        <v>201</v>
      </c>
    </row>
  </sheetData>
  <autoFilter ref="A1:G96" xr:uid="{6A7BB84B-4BF3-4978-BFCA-0C4F8A30C442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5D3D-AC81-430D-9D21-62268C0ADADB}">
  <dimension ref="A1:H96"/>
  <sheetViews>
    <sheetView topLeftCell="B1" workbookViewId="0">
      <pane ySplit="1" topLeftCell="A2" activePane="bottomLeft" state="frozen"/>
      <selection pane="bottomLeft" activeCell="G1" sqref="G1"/>
    </sheetView>
  </sheetViews>
  <sheetFormatPr defaultRowHeight="14.5"/>
  <cols>
    <col min="1" max="1" width="23.54296875" bestFit="1" customWidth="1"/>
    <col min="2" max="2" width="13.6328125" bestFit="1" customWidth="1"/>
    <col min="3" max="3" width="24.81640625" bestFit="1" customWidth="1"/>
    <col min="4" max="4" width="125.54296875" customWidth="1"/>
    <col min="5" max="5" width="15.08984375" bestFit="1" customWidth="1"/>
    <col min="6" max="6" width="30.54296875" bestFit="1" customWidth="1"/>
    <col min="7" max="7" width="30.54296875" customWidth="1"/>
    <col min="8" max="8" width="14.81640625" bestFit="1" customWidth="1"/>
  </cols>
  <sheetData>
    <row r="1" spans="1:8">
      <c r="A1" s="1" t="s">
        <v>193</v>
      </c>
      <c r="B1" s="1" t="s">
        <v>194</v>
      </c>
      <c r="C1" s="1" t="s">
        <v>77</v>
      </c>
      <c r="D1" s="1" t="s">
        <v>190</v>
      </c>
      <c r="E1" s="1" t="s">
        <v>191</v>
      </c>
      <c r="F1" s="1" t="s">
        <v>192</v>
      </c>
      <c r="G1" s="1" t="s">
        <v>204</v>
      </c>
      <c r="H1" s="1" t="s">
        <v>195</v>
      </c>
    </row>
    <row r="2" spans="1:8">
      <c r="A2" s="2">
        <v>111</v>
      </c>
      <c r="B2" t="str">
        <f t="shared" ref="B2:B3" si="0">A2&amp;REPT("0",8-LEN(A2))</f>
        <v>11100000</v>
      </c>
      <c r="C2" t="str">
        <f t="shared" ref="C2:C3" si="1">_xlfn.CONCAT("n",B2)</f>
        <v>n11100000</v>
      </c>
      <c r="D2" s="2" t="s">
        <v>188</v>
      </c>
      <c r="E2" t="s">
        <v>170</v>
      </c>
      <c r="F2" t="s">
        <v>161</v>
      </c>
      <c r="G2" t="s">
        <v>161</v>
      </c>
      <c r="H2" t="s">
        <v>196</v>
      </c>
    </row>
    <row r="3" spans="1:8">
      <c r="A3" s="2">
        <v>112</v>
      </c>
      <c r="B3" t="str">
        <f t="shared" si="0"/>
        <v>11200000</v>
      </c>
      <c r="C3" t="str">
        <f t="shared" si="1"/>
        <v>n11200000</v>
      </c>
      <c r="D3" s="2" t="s">
        <v>189</v>
      </c>
      <c r="E3" t="s">
        <v>170</v>
      </c>
      <c r="F3" t="s">
        <v>160</v>
      </c>
      <c r="G3" t="s">
        <v>160</v>
      </c>
      <c r="H3" t="s">
        <v>196</v>
      </c>
    </row>
    <row r="4" spans="1:8">
      <c r="A4" s="2">
        <v>122</v>
      </c>
      <c r="B4" t="str">
        <f>A4&amp;REPT("0",8-LEN(A4))</f>
        <v>12200000</v>
      </c>
      <c r="C4" t="str">
        <f>_xlfn.CONCAT("n",B4)</f>
        <v>n12200000</v>
      </c>
      <c r="D4" s="2" t="s">
        <v>175</v>
      </c>
      <c r="E4" t="s">
        <v>170</v>
      </c>
      <c r="F4" t="s">
        <v>161</v>
      </c>
      <c r="G4" t="s">
        <v>161</v>
      </c>
      <c r="H4" t="s">
        <v>196</v>
      </c>
    </row>
    <row r="5" spans="1:8">
      <c r="A5" s="2">
        <v>123</v>
      </c>
      <c r="B5" t="str">
        <f t="shared" ref="B5:B68" si="2">A5&amp;REPT("0",8-LEN(A5))</f>
        <v>12300000</v>
      </c>
      <c r="C5" t="str">
        <f t="shared" ref="C5:C68" si="3">_xlfn.CONCAT("n",B5)</f>
        <v>n12300000</v>
      </c>
      <c r="D5" s="2" t="s">
        <v>176</v>
      </c>
      <c r="E5" t="s">
        <v>170</v>
      </c>
      <c r="F5" t="s">
        <v>161</v>
      </c>
      <c r="G5" t="s">
        <v>161</v>
      </c>
      <c r="H5" t="s">
        <v>196</v>
      </c>
    </row>
    <row r="6" spans="1:8">
      <c r="A6" s="2">
        <v>124</v>
      </c>
      <c r="B6" t="str">
        <f t="shared" si="2"/>
        <v>12400000</v>
      </c>
      <c r="C6" t="str">
        <f t="shared" si="3"/>
        <v>n12400000</v>
      </c>
      <c r="D6" s="2" t="s">
        <v>177</v>
      </c>
      <c r="E6" t="s">
        <v>170</v>
      </c>
      <c r="F6" t="s">
        <v>161</v>
      </c>
      <c r="G6" t="s">
        <v>161</v>
      </c>
      <c r="H6" t="s">
        <v>196</v>
      </c>
    </row>
    <row r="7" spans="1:8">
      <c r="A7" s="2">
        <v>125</v>
      </c>
      <c r="B7" t="str">
        <f t="shared" si="2"/>
        <v>12500000</v>
      </c>
      <c r="C7" t="str">
        <f t="shared" si="3"/>
        <v>n12500000</v>
      </c>
      <c r="D7" s="2" t="s">
        <v>178</v>
      </c>
      <c r="E7" t="s">
        <v>170</v>
      </c>
      <c r="F7" t="s">
        <v>161</v>
      </c>
      <c r="G7" t="s">
        <v>161</v>
      </c>
      <c r="H7" t="s">
        <v>196</v>
      </c>
    </row>
    <row r="8" spans="1:8">
      <c r="A8" s="2">
        <v>126</v>
      </c>
      <c r="B8" t="str">
        <f t="shared" si="2"/>
        <v>12600000</v>
      </c>
      <c r="C8" t="str">
        <f t="shared" si="3"/>
        <v>n12600000</v>
      </c>
      <c r="D8" s="2" t="s">
        <v>179</v>
      </c>
      <c r="E8" t="s">
        <v>170</v>
      </c>
      <c r="F8" t="s">
        <v>161</v>
      </c>
      <c r="G8" t="s">
        <v>161</v>
      </c>
      <c r="H8" t="s">
        <v>196</v>
      </c>
    </row>
    <row r="9" spans="1:8">
      <c r="A9" s="2">
        <v>127</v>
      </c>
      <c r="B9" t="str">
        <f t="shared" si="2"/>
        <v>12700000</v>
      </c>
      <c r="C9" t="str">
        <f t="shared" si="3"/>
        <v>n12700000</v>
      </c>
      <c r="D9" s="2" t="s">
        <v>180</v>
      </c>
      <c r="E9" t="s">
        <v>170</v>
      </c>
      <c r="F9" t="s">
        <v>161</v>
      </c>
      <c r="G9" t="s">
        <v>161</v>
      </c>
      <c r="H9" t="s">
        <v>196</v>
      </c>
    </row>
    <row r="10" spans="1:8">
      <c r="A10" s="2">
        <v>121</v>
      </c>
      <c r="B10" t="str">
        <f t="shared" si="2"/>
        <v>12100000</v>
      </c>
      <c r="C10" t="str">
        <f t="shared" si="3"/>
        <v>n12100000</v>
      </c>
      <c r="D10" s="2" t="s">
        <v>181</v>
      </c>
      <c r="E10" t="s">
        <v>170</v>
      </c>
      <c r="F10" t="s">
        <v>161</v>
      </c>
      <c r="G10" t="s">
        <v>161</v>
      </c>
      <c r="H10" t="s">
        <v>196</v>
      </c>
    </row>
    <row r="11" spans="1:8">
      <c r="A11" s="2">
        <v>131</v>
      </c>
      <c r="B11" t="str">
        <f t="shared" si="2"/>
        <v>13100000</v>
      </c>
      <c r="C11" t="str">
        <f t="shared" si="3"/>
        <v>n13100000</v>
      </c>
      <c r="D11" s="2" t="s">
        <v>182</v>
      </c>
      <c r="E11" t="s">
        <v>170</v>
      </c>
      <c r="F11" t="s">
        <v>161</v>
      </c>
      <c r="G11" t="s">
        <v>161</v>
      </c>
      <c r="H11" t="s">
        <v>196</v>
      </c>
    </row>
    <row r="12" spans="1:8">
      <c r="A12" s="2">
        <v>132</v>
      </c>
      <c r="B12" t="str">
        <f t="shared" si="2"/>
        <v>13200000</v>
      </c>
      <c r="C12" t="str">
        <f t="shared" si="3"/>
        <v>n13200000</v>
      </c>
      <c r="D12" s="2" t="s">
        <v>183</v>
      </c>
      <c r="E12" t="s">
        <v>170</v>
      </c>
      <c r="F12" t="s">
        <v>164</v>
      </c>
      <c r="G12" t="s">
        <v>205</v>
      </c>
      <c r="H12" t="s">
        <v>196</v>
      </c>
    </row>
    <row r="13" spans="1:8">
      <c r="A13" s="2">
        <v>100</v>
      </c>
      <c r="B13" t="str">
        <f t="shared" si="2"/>
        <v>10000000</v>
      </c>
      <c r="C13" t="str">
        <f t="shared" si="3"/>
        <v>n10000000</v>
      </c>
      <c r="D13" s="2" t="s">
        <v>184</v>
      </c>
      <c r="E13" t="s">
        <v>170</v>
      </c>
      <c r="F13" t="s">
        <v>187</v>
      </c>
      <c r="G13" t="s">
        <v>160</v>
      </c>
      <c r="H13" t="s">
        <v>196</v>
      </c>
    </row>
    <row r="14" spans="1:8">
      <c r="A14" s="2">
        <v>101</v>
      </c>
      <c r="B14" t="str">
        <f t="shared" si="2"/>
        <v>10100000</v>
      </c>
      <c r="C14" t="str">
        <f t="shared" si="3"/>
        <v>n10100000</v>
      </c>
      <c r="D14" s="2" t="s">
        <v>185</v>
      </c>
      <c r="E14" t="s">
        <v>170</v>
      </c>
      <c r="F14" t="s">
        <v>187</v>
      </c>
      <c r="G14" t="s">
        <v>206</v>
      </c>
      <c r="H14" t="s">
        <v>196</v>
      </c>
    </row>
    <row r="15" spans="1:8" s="4" customFormat="1">
      <c r="A15" s="3">
        <v>102</v>
      </c>
      <c r="B15" s="4" t="str">
        <f t="shared" si="2"/>
        <v>10200000</v>
      </c>
      <c r="C15" s="4" t="str">
        <f t="shared" si="3"/>
        <v>n10200000</v>
      </c>
      <c r="D15" s="3" t="s">
        <v>186</v>
      </c>
      <c r="E15" s="4" t="s">
        <v>170</v>
      </c>
      <c r="F15" s="4" t="s">
        <v>187</v>
      </c>
      <c r="G15" s="4" t="s">
        <v>161</v>
      </c>
      <c r="H15" s="4" t="s">
        <v>196</v>
      </c>
    </row>
    <row r="16" spans="1:8">
      <c r="A16" s="2">
        <v>211</v>
      </c>
      <c r="B16" t="str">
        <f t="shared" si="2"/>
        <v>21100000</v>
      </c>
      <c r="C16" t="str">
        <f t="shared" si="3"/>
        <v>n21100000</v>
      </c>
      <c r="D16" s="2" t="s">
        <v>79</v>
      </c>
      <c r="E16" t="s">
        <v>170</v>
      </c>
      <c r="F16" t="s">
        <v>160</v>
      </c>
      <c r="G16" t="s">
        <v>160</v>
      </c>
      <c r="H16" t="s">
        <v>197</v>
      </c>
    </row>
    <row r="17" spans="1:8">
      <c r="A17" s="2">
        <v>212</v>
      </c>
      <c r="B17" t="str">
        <f t="shared" si="2"/>
        <v>21200000</v>
      </c>
      <c r="C17" t="str">
        <f t="shared" si="3"/>
        <v>n21200000</v>
      </c>
      <c r="D17" s="2" t="s">
        <v>80</v>
      </c>
      <c r="E17" t="s">
        <v>170</v>
      </c>
      <c r="F17" t="s">
        <v>160</v>
      </c>
      <c r="G17" t="s">
        <v>160</v>
      </c>
      <c r="H17" t="s">
        <v>198</v>
      </c>
    </row>
    <row r="18" spans="1:8">
      <c r="A18" s="2">
        <v>221</v>
      </c>
      <c r="B18" t="str">
        <f t="shared" si="2"/>
        <v>22100000</v>
      </c>
      <c r="C18" t="str">
        <f t="shared" si="3"/>
        <v>n22100000</v>
      </c>
      <c r="D18" s="2" t="s">
        <v>81</v>
      </c>
      <c r="E18" t="s">
        <v>170</v>
      </c>
      <c r="F18" t="s">
        <v>160</v>
      </c>
      <c r="G18" t="s">
        <v>160</v>
      </c>
      <c r="H18" t="s">
        <v>199</v>
      </c>
    </row>
    <row r="19" spans="1:8" s="4" customFormat="1">
      <c r="A19" s="3">
        <v>222</v>
      </c>
      <c r="B19" s="4" t="str">
        <f t="shared" si="2"/>
        <v>22200000</v>
      </c>
      <c r="C19" s="4" t="str">
        <f t="shared" si="3"/>
        <v>n22200000</v>
      </c>
      <c r="D19" s="3" t="s">
        <v>82</v>
      </c>
      <c r="E19" s="4" t="s">
        <v>170</v>
      </c>
      <c r="F19" s="4" t="s">
        <v>160</v>
      </c>
      <c r="G19" s="4" t="s">
        <v>160</v>
      </c>
      <c r="H19" s="4" t="s">
        <v>200</v>
      </c>
    </row>
    <row r="20" spans="1:8">
      <c r="A20" s="2">
        <v>3119</v>
      </c>
      <c r="B20" t="str">
        <f t="shared" si="2"/>
        <v>31190000</v>
      </c>
      <c r="C20" t="str">
        <f t="shared" si="3"/>
        <v>n31190000</v>
      </c>
      <c r="D20" s="2" t="s">
        <v>83</v>
      </c>
      <c r="E20" t="s">
        <v>170</v>
      </c>
      <c r="F20" t="s">
        <v>161</v>
      </c>
      <c r="G20" t="s">
        <v>161</v>
      </c>
      <c r="H20" t="s">
        <v>197</v>
      </c>
    </row>
    <row r="21" spans="1:8">
      <c r="A21" s="2">
        <v>3112</v>
      </c>
      <c r="B21" t="str">
        <f t="shared" si="2"/>
        <v>31120000</v>
      </c>
      <c r="C21" t="str">
        <f t="shared" si="3"/>
        <v>n31120000</v>
      </c>
      <c r="D21" s="2" t="s">
        <v>84</v>
      </c>
      <c r="E21" t="s">
        <v>170</v>
      </c>
      <c r="F21" t="s">
        <v>161</v>
      </c>
      <c r="G21" t="s">
        <v>161</v>
      </c>
      <c r="H21" t="s">
        <v>197</v>
      </c>
    </row>
    <row r="22" spans="1:8">
      <c r="A22" s="2">
        <v>312119</v>
      </c>
      <c r="B22" t="str">
        <f t="shared" si="2"/>
        <v>31211900</v>
      </c>
      <c r="C22" t="str">
        <f t="shared" si="3"/>
        <v>n31211900</v>
      </c>
      <c r="D22" s="2" t="s">
        <v>85</v>
      </c>
      <c r="E22" t="s">
        <v>170</v>
      </c>
      <c r="F22" t="s">
        <v>161</v>
      </c>
      <c r="G22" t="s">
        <v>161</v>
      </c>
      <c r="H22" t="s">
        <v>198</v>
      </c>
    </row>
    <row r="23" spans="1:8">
      <c r="A23" s="2">
        <v>312112</v>
      </c>
      <c r="B23" t="str">
        <f t="shared" si="2"/>
        <v>31211200</v>
      </c>
      <c r="C23" t="str">
        <f t="shared" si="3"/>
        <v>n31211200</v>
      </c>
      <c r="D23" s="2" t="s">
        <v>86</v>
      </c>
      <c r="E23" t="s">
        <v>170</v>
      </c>
      <c r="F23" t="s">
        <v>161</v>
      </c>
      <c r="G23" t="s">
        <v>161</v>
      </c>
      <c r="H23" t="s">
        <v>198</v>
      </c>
    </row>
    <row r="24" spans="1:8">
      <c r="A24" s="2">
        <v>312129</v>
      </c>
      <c r="B24" t="str">
        <f t="shared" si="2"/>
        <v>31212900</v>
      </c>
      <c r="C24" t="str">
        <f t="shared" si="3"/>
        <v>n31212900</v>
      </c>
      <c r="D24" s="2" t="s">
        <v>87</v>
      </c>
      <c r="E24" t="s">
        <v>170</v>
      </c>
      <c r="F24" t="s">
        <v>161</v>
      </c>
      <c r="G24" t="s">
        <v>161</v>
      </c>
      <c r="H24" t="s">
        <v>198</v>
      </c>
    </row>
    <row r="25" spans="1:8">
      <c r="A25" s="2">
        <v>312122</v>
      </c>
      <c r="B25" t="str">
        <f t="shared" si="2"/>
        <v>31212200</v>
      </c>
      <c r="C25" t="str">
        <f t="shared" si="3"/>
        <v>n31212200</v>
      </c>
      <c r="D25" s="2" t="s">
        <v>88</v>
      </c>
      <c r="E25" t="s">
        <v>170</v>
      </c>
      <c r="F25" t="s">
        <v>161</v>
      </c>
      <c r="G25" t="s">
        <v>161</v>
      </c>
      <c r="H25" t="s">
        <v>198</v>
      </c>
    </row>
    <row r="26" spans="1:8">
      <c r="A26" s="2">
        <v>312219</v>
      </c>
      <c r="B26" t="str">
        <f t="shared" si="2"/>
        <v>31221900</v>
      </c>
      <c r="C26" t="str">
        <f t="shared" si="3"/>
        <v>n31221900</v>
      </c>
      <c r="D26" s="2" t="s">
        <v>89</v>
      </c>
      <c r="E26" t="s">
        <v>170</v>
      </c>
      <c r="F26" t="s">
        <v>161</v>
      </c>
      <c r="G26" t="s">
        <v>161</v>
      </c>
      <c r="H26" t="s">
        <v>198</v>
      </c>
    </row>
    <row r="27" spans="1:8">
      <c r="A27" s="2">
        <v>312212</v>
      </c>
      <c r="B27" t="str">
        <f t="shared" si="2"/>
        <v>31221200</v>
      </c>
      <c r="C27" t="str">
        <f t="shared" si="3"/>
        <v>n31221200</v>
      </c>
      <c r="D27" s="2" t="s">
        <v>90</v>
      </c>
      <c r="E27" t="s">
        <v>170</v>
      </c>
      <c r="F27" t="s">
        <v>161</v>
      </c>
      <c r="G27" t="s">
        <v>161</v>
      </c>
      <c r="H27" t="s">
        <v>198</v>
      </c>
    </row>
    <row r="28" spans="1:8">
      <c r="A28" s="2">
        <v>312229</v>
      </c>
      <c r="B28" t="str">
        <f t="shared" si="2"/>
        <v>31222900</v>
      </c>
      <c r="C28" t="str">
        <f t="shared" si="3"/>
        <v>n31222900</v>
      </c>
      <c r="D28" s="2" t="s">
        <v>91</v>
      </c>
      <c r="E28" t="s">
        <v>170</v>
      </c>
      <c r="F28" t="s">
        <v>161</v>
      </c>
      <c r="G28" t="s">
        <v>161</v>
      </c>
      <c r="H28" t="s">
        <v>198</v>
      </c>
    </row>
    <row r="29" spans="1:8">
      <c r="A29" s="2">
        <v>312222</v>
      </c>
      <c r="B29" t="str">
        <f t="shared" si="2"/>
        <v>31222200</v>
      </c>
      <c r="C29" t="str">
        <f t="shared" si="3"/>
        <v>n31222200</v>
      </c>
      <c r="D29" s="2" t="s">
        <v>92</v>
      </c>
      <c r="E29" t="s">
        <v>170</v>
      </c>
      <c r="F29" t="s">
        <v>161</v>
      </c>
      <c r="G29" t="s">
        <v>161</v>
      </c>
      <c r="H29" t="s">
        <v>198</v>
      </c>
    </row>
    <row r="30" spans="1:8">
      <c r="A30" s="2">
        <v>312319</v>
      </c>
      <c r="B30" t="str">
        <f t="shared" si="2"/>
        <v>31231900</v>
      </c>
      <c r="C30" t="str">
        <f t="shared" si="3"/>
        <v>n31231900</v>
      </c>
      <c r="D30" s="2" t="s">
        <v>93</v>
      </c>
      <c r="E30" t="s">
        <v>170</v>
      </c>
      <c r="F30" t="s">
        <v>161</v>
      </c>
      <c r="G30" t="s">
        <v>161</v>
      </c>
      <c r="H30" t="s">
        <v>198</v>
      </c>
    </row>
    <row r="31" spans="1:8">
      <c r="A31" s="2">
        <v>312312</v>
      </c>
      <c r="B31" t="str">
        <f t="shared" si="2"/>
        <v>31231200</v>
      </c>
      <c r="C31" t="str">
        <f t="shared" si="3"/>
        <v>n31231200</v>
      </c>
      <c r="D31" s="2" t="s">
        <v>94</v>
      </c>
      <c r="E31" t="s">
        <v>170</v>
      </c>
      <c r="F31" t="s">
        <v>161</v>
      </c>
      <c r="G31" t="s">
        <v>161</v>
      </c>
      <c r="H31" t="s">
        <v>198</v>
      </c>
    </row>
    <row r="32" spans="1:8">
      <c r="A32" s="2">
        <v>312329</v>
      </c>
      <c r="B32" t="str">
        <f t="shared" si="2"/>
        <v>31232900</v>
      </c>
      <c r="C32" t="str">
        <f t="shared" si="3"/>
        <v>n31232900</v>
      </c>
      <c r="D32" s="2" t="s">
        <v>95</v>
      </c>
      <c r="E32" t="s">
        <v>170</v>
      </c>
      <c r="F32" t="s">
        <v>161</v>
      </c>
      <c r="G32" t="s">
        <v>161</v>
      </c>
      <c r="H32" t="s">
        <v>198</v>
      </c>
    </row>
    <row r="33" spans="1:8">
      <c r="A33" s="2">
        <v>312322</v>
      </c>
      <c r="B33" t="str">
        <f t="shared" si="2"/>
        <v>31232200</v>
      </c>
      <c r="C33" t="str">
        <f t="shared" si="3"/>
        <v>n31232200</v>
      </c>
      <c r="D33" s="2" t="s">
        <v>96</v>
      </c>
      <c r="E33" t="s">
        <v>170</v>
      </c>
      <c r="F33" t="s">
        <v>161</v>
      </c>
      <c r="G33" t="s">
        <v>161</v>
      </c>
      <c r="H33" t="s">
        <v>198</v>
      </c>
    </row>
    <row r="34" spans="1:8">
      <c r="A34" s="2">
        <v>312412</v>
      </c>
      <c r="B34" t="str">
        <f t="shared" si="2"/>
        <v>31241200</v>
      </c>
      <c r="C34" t="str">
        <f t="shared" si="3"/>
        <v>n31241200</v>
      </c>
      <c r="D34" s="2" t="s">
        <v>97</v>
      </c>
      <c r="E34" t="s">
        <v>170</v>
      </c>
      <c r="F34" t="s">
        <v>161</v>
      </c>
      <c r="G34" t="s">
        <v>161</v>
      </c>
      <c r="H34" t="s">
        <v>198</v>
      </c>
    </row>
    <row r="35" spans="1:8">
      <c r="A35" s="2">
        <v>312422</v>
      </c>
      <c r="B35" t="str">
        <f t="shared" si="2"/>
        <v>31242200</v>
      </c>
      <c r="C35" t="str">
        <f t="shared" si="3"/>
        <v>n31242200</v>
      </c>
      <c r="D35" s="2" t="s">
        <v>98</v>
      </c>
      <c r="E35" t="s">
        <v>170</v>
      </c>
      <c r="F35" t="s">
        <v>161</v>
      </c>
      <c r="G35" t="s">
        <v>161</v>
      </c>
      <c r="H35" t="s">
        <v>198</v>
      </c>
    </row>
    <row r="36" spans="1:8">
      <c r="A36" s="2">
        <v>32119</v>
      </c>
      <c r="B36" t="str">
        <f t="shared" si="2"/>
        <v>32119000</v>
      </c>
      <c r="C36" t="str">
        <f t="shared" si="3"/>
        <v>n32119000</v>
      </c>
      <c r="D36" s="2" t="s">
        <v>99</v>
      </c>
      <c r="E36" t="s">
        <v>170</v>
      </c>
      <c r="F36" t="s">
        <v>161</v>
      </c>
      <c r="G36" t="s">
        <v>161</v>
      </c>
      <c r="H36" t="s">
        <v>199</v>
      </c>
    </row>
    <row r="37" spans="1:8">
      <c r="A37" s="2">
        <v>32112</v>
      </c>
      <c r="B37" t="str">
        <f t="shared" si="2"/>
        <v>32112000</v>
      </c>
      <c r="C37" t="str">
        <f t="shared" si="3"/>
        <v>n32112000</v>
      </c>
      <c r="D37" s="2" t="s">
        <v>100</v>
      </c>
      <c r="E37" t="s">
        <v>170</v>
      </c>
      <c r="F37" t="s">
        <v>161</v>
      </c>
      <c r="G37" t="s">
        <v>161</v>
      </c>
      <c r="H37" t="s">
        <v>199</v>
      </c>
    </row>
    <row r="38" spans="1:8">
      <c r="A38" s="2">
        <v>321219</v>
      </c>
      <c r="B38" t="str">
        <f t="shared" si="2"/>
        <v>32121900</v>
      </c>
      <c r="C38" t="str">
        <f t="shared" si="3"/>
        <v>n32121900</v>
      </c>
      <c r="D38" s="2" t="s">
        <v>101</v>
      </c>
      <c r="E38" t="s">
        <v>170</v>
      </c>
      <c r="F38" t="s">
        <v>161</v>
      </c>
      <c r="G38" t="s">
        <v>161</v>
      </c>
      <c r="H38" t="s">
        <v>199</v>
      </c>
    </row>
    <row r="39" spans="1:8">
      <c r="A39" s="2">
        <v>321212</v>
      </c>
      <c r="B39" t="str">
        <f t="shared" si="2"/>
        <v>32121200</v>
      </c>
      <c r="C39" t="str">
        <f t="shared" si="3"/>
        <v>n32121200</v>
      </c>
      <c r="D39" s="2" t="s">
        <v>102</v>
      </c>
      <c r="E39" t="s">
        <v>170</v>
      </c>
      <c r="F39" t="s">
        <v>161</v>
      </c>
      <c r="G39" t="s">
        <v>161</v>
      </c>
      <c r="H39" t="s">
        <v>199</v>
      </c>
    </row>
    <row r="40" spans="1:8">
      <c r="A40" s="2">
        <v>321229</v>
      </c>
      <c r="B40" t="str">
        <f t="shared" si="2"/>
        <v>32122900</v>
      </c>
      <c r="C40" t="str">
        <f t="shared" si="3"/>
        <v>n32122900</v>
      </c>
      <c r="D40" s="2" t="s">
        <v>103</v>
      </c>
      <c r="E40" t="s">
        <v>170</v>
      </c>
      <c r="F40" t="s">
        <v>161</v>
      </c>
      <c r="G40" t="s">
        <v>161</v>
      </c>
      <c r="H40" t="s">
        <v>199</v>
      </c>
    </row>
    <row r="41" spans="1:8">
      <c r="A41" s="2">
        <v>321222</v>
      </c>
      <c r="B41" t="str">
        <f t="shared" si="2"/>
        <v>32122200</v>
      </c>
      <c r="C41" t="str">
        <f t="shared" si="3"/>
        <v>n32122200</v>
      </c>
      <c r="D41" s="2" t="s">
        <v>104</v>
      </c>
      <c r="E41" t="s">
        <v>170</v>
      </c>
      <c r="F41" t="s">
        <v>161</v>
      </c>
      <c r="G41" t="s">
        <v>161</v>
      </c>
      <c r="H41" t="s">
        <v>199</v>
      </c>
    </row>
    <row r="42" spans="1:8">
      <c r="A42" s="2">
        <v>32139</v>
      </c>
      <c r="B42" t="str">
        <f t="shared" si="2"/>
        <v>32139000</v>
      </c>
      <c r="C42" t="str">
        <f t="shared" si="3"/>
        <v>n32139000</v>
      </c>
      <c r="D42" s="2" t="s">
        <v>105</v>
      </c>
      <c r="E42" t="s">
        <v>170</v>
      </c>
      <c r="F42" t="s">
        <v>161</v>
      </c>
      <c r="G42" t="s">
        <v>161</v>
      </c>
      <c r="H42" t="s">
        <v>199</v>
      </c>
    </row>
    <row r="43" spans="1:8">
      <c r="A43" s="2">
        <v>32132</v>
      </c>
      <c r="B43" t="str">
        <f t="shared" si="2"/>
        <v>32132000</v>
      </c>
      <c r="C43" t="str">
        <f t="shared" si="3"/>
        <v>n32132000</v>
      </c>
      <c r="D43" s="2" t="s">
        <v>106</v>
      </c>
      <c r="E43" t="s">
        <v>170</v>
      </c>
      <c r="F43" t="s">
        <v>161</v>
      </c>
      <c r="G43" t="s">
        <v>161</v>
      </c>
      <c r="H43" t="s">
        <v>199</v>
      </c>
    </row>
    <row r="44" spans="1:8">
      <c r="A44" s="2">
        <v>32142</v>
      </c>
      <c r="B44" t="str">
        <f t="shared" si="2"/>
        <v>32142000</v>
      </c>
      <c r="C44" t="str">
        <f t="shared" si="3"/>
        <v>n32142000</v>
      </c>
      <c r="D44" s="2" t="s">
        <v>107</v>
      </c>
      <c r="E44" t="s">
        <v>170</v>
      </c>
      <c r="F44" t="s">
        <v>161</v>
      </c>
      <c r="G44" t="s">
        <v>161</v>
      </c>
      <c r="H44" t="s">
        <v>199</v>
      </c>
    </row>
    <row r="45" spans="1:8">
      <c r="A45" s="2">
        <v>32219</v>
      </c>
      <c r="B45" t="str">
        <f t="shared" si="2"/>
        <v>32219000</v>
      </c>
      <c r="C45" t="str">
        <f t="shared" si="3"/>
        <v>n32219000</v>
      </c>
      <c r="D45" s="2" t="s">
        <v>108</v>
      </c>
      <c r="E45" t="s">
        <v>170</v>
      </c>
      <c r="F45" t="s">
        <v>161</v>
      </c>
      <c r="G45" t="s">
        <v>161</v>
      </c>
      <c r="H45" t="s">
        <v>200</v>
      </c>
    </row>
    <row r="46" spans="1:8">
      <c r="A46" s="2">
        <v>32212</v>
      </c>
      <c r="B46" t="str">
        <f t="shared" si="2"/>
        <v>32212000</v>
      </c>
      <c r="C46" t="str">
        <f t="shared" si="3"/>
        <v>n32212000</v>
      </c>
      <c r="D46" s="2" t="s">
        <v>109</v>
      </c>
      <c r="E46" t="s">
        <v>170</v>
      </c>
      <c r="F46" t="s">
        <v>161</v>
      </c>
      <c r="G46" t="s">
        <v>161</v>
      </c>
      <c r="H46" t="s">
        <v>200</v>
      </c>
    </row>
    <row r="47" spans="1:8">
      <c r="A47" s="2">
        <v>32229</v>
      </c>
      <c r="B47" t="str">
        <f t="shared" si="2"/>
        <v>32229000</v>
      </c>
      <c r="C47" t="str">
        <f t="shared" si="3"/>
        <v>n32229000</v>
      </c>
      <c r="D47" s="2" t="s">
        <v>110</v>
      </c>
      <c r="E47" t="s">
        <v>170</v>
      </c>
      <c r="F47" t="s">
        <v>161</v>
      </c>
      <c r="G47" t="s">
        <v>161</v>
      </c>
      <c r="H47" t="s">
        <v>200</v>
      </c>
    </row>
    <row r="48" spans="1:8">
      <c r="A48" s="2">
        <v>32222</v>
      </c>
      <c r="B48" t="str">
        <f t="shared" si="2"/>
        <v>32222000</v>
      </c>
      <c r="C48" t="str">
        <f t="shared" si="3"/>
        <v>n32222000</v>
      </c>
      <c r="D48" s="2" t="s">
        <v>111</v>
      </c>
      <c r="E48" t="s">
        <v>170</v>
      </c>
      <c r="F48" t="s">
        <v>161</v>
      </c>
      <c r="G48" t="s">
        <v>161</v>
      </c>
      <c r="H48" t="s">
        <v>200</v>
      </c>
    </row>
    <row r="49" spans="1:8">
      <c r="A49" s="2">
        <v>32239</v>
      </c>
      <c r="B49" t="str">
        <f t="shared" si="2"/>
        <v>32239000</v>
      </c>
      <c r="C49" t="str">
        <f t="shared" si="3"/>
        <v>n32239000</v>
      </c>
      <c r="D49" s="2" t="s">
        <v>112</v>
      </c>
      <c r="E49" t="s">
        <v>170</v>
      </c>
      <c r="F49" t="s">
        <v>161</v>
      </c>
      <c r="G49" t="s">
        <v>161</v>
      </c>
      <c r="H49" t="s">
        <v>200</v>
      </c>
    </row>
    <row r="50" spans="1:8">
      <c r="A50" s="2">
        <v>32232</v>
      </c>
      <c r="B50" t="str">
        <f t="shared" si="2"/>
        <v>32232000</v>
      </c>
      <c r="C50" t="str">
        <f t="shared" si="3"/>
        <v>n32232000</v>
      </c>
      <c r="D50" s="2" t="s">
        <v>113</v>
      </c>
      <c r="E50" t="s">
        <v>170</v>
      </c>
      <c r="F50" t="s">
        <v>161</v>
      </c>
      <c r="G50" t="s">
        <v>161</v>
      </c>
      <c r="H50" t="s">
        <v>200</v>
      </c>
    </row>
    <row r="51" spans="1:8" s="4" customFormat="1">
      <c r="A51" s="3">
        <v>32242</v>
      </c>
      <c r="B51" s="4" t="str">
        <f t="shared" si="2"/>
        <v>32242000</v>
      </c>
      <c r="C51" s="4" t="str">
        <f t="shared" si="3"/>
        <v>n32242000</v>
      </c>
      <c r="D51" s="3" t="s">
        <v>114</v>
      </c>
      <c r="E51" s="4" t="s">
        <v>170</v>
      </c>
      <c r="F51" s="4" t="s">
        <v>161</v>
      </c>
      <c r="G51" s="4" t="s">
        <v>161</v>
      </c>
      <c r="H51" s="4" t="s">
        <v>200</v>
      </c>
    </row>
    <row r="52" spans="1:8">
      <c r="A52" s="2">
        <v>419</v>
      </c>
      <c r="B52" t="str">
        <f t="shared" si="2"/>
        <v>41900000</v>
      </c>
      <c r="C52" t="str">
        <f t="shared" si="3"/>
        <v>n41900000</v>
      </c>
      <c r="D52" s="2" t="s">
        <v>115</v>
      </c>
      <c r="E52" t="s">
        <v>170</v>
      </c>
      <c r="F52" t="s">
        <v>161</v>
      </c>
      <c r="G52" t="s">
        <v>161</v>
      </c>
      <c r="H52" t="s">
        <v>199</v>
      </c>
    </row>
    <row r="53" spans="1:8">
      <c r="A53" s="2">
        <v>412</v>
      </c>
      <c r="B53" t="str">
        <f t="shared" si="2"/>
        <v>41200000</v>
      </c>
      <c r="C53" t="str">
        <f t="shared" si="3"/>
        <v>n41200000</v>
      </c>
      <c r="D53" s="2" t="s">
        <v>116</v>
      </c>
      <c r="E53" t="s">
        <v>170</v>
      </c>
      <c r="F53" t="s">
        <v>161</v>
      </c>
      <c r="G53" t="s">
        <v>161</v>
      </c>
      <c r="H53" t="s">
        <v>199</v>
      </c>
    </row>
    <row r="54" spans="1:8">
      <c r="A54" s="2">
        <v>4211119</v>
      </c>
      <c r="B54" t="str">
        <f t="shared" si="2"/>
        <v>42111190</v>
      </c>
      <c r="C54" t="str">
        <f t="shared" si="3"/>
        <v>n42111190</v>
      </c>
      <c r="D54" s="2" t="s">
        <v>117</v>
      </c>
      <c r="E54" t="s">
        <v>170</v>
      </c>
      <c r="F54" t="s">
        <v>203</v>
      </c>
      <c r="G54" t="s">
        <v>205</v>
      </c>
      <c r="H54" t="s">
        <v>197</v>
      </c>
    </row>
    <row r="55" spans="1:8">
      <c r="A55" s="2">
        <v>4211112</v>
      </c>
      <c r="B55" t="str">
        <f t="shared" si="2"/>
        <v>42111120</v>
      </c>
      <c r="C55" t="str">
        <f t="shared" si="3"/>
        <v>n42111120</v>
      </c>
      <c r="D55" s="2" t="s">
        <v>118</v>
      </c>
      <c r="E55" t="s">
        <v>170</v>
      </c>
      <c r="F55" t="s">
        <v>203</v>
      </c>
      <c r="G55" t="s">
        <v>205</v>
      </c>
      <c r="H55" t="s">
        <v>197</v>
      </c>
    </row>
    <row r="56" spans="1:8">
      <c r="A56" s="2">
        <v>4211129</v>
      </c>
      <c r="B56" t="str">
        <f t="shared" si="2"/>
        <v>42111290</v>
      </c>
      <c r="C56" t="str">
        <f t="shared" si="3"/>
        <v>n42111290</v>
      </c>
      <c r="D56" s="2" t="s">
        <v>119</v>
      </c>
      <c r="E56" t="s">
        <v>170</v>
      </c>
      <c r="F56" t="s">
        <v>203</v>
      </c>
      <c r="G56" t="s">
        <v>205</v>
      </c>
      <c r="H56" t="s">
        <v>198</v>
      </c>
    </row>
    <row r="57" spans="1:8">
      <c r="A57" s="2">
        <v>4211122</v>
      </c>
      <c r="B57" t="str">
        <f t="shared" si="2"/>
        <v>42111220</v>
      </c>
      <c r="C57" t="str">
        <f t="shared" si="3"/>
        <v>n42111220</v>
      </c>
      <c r="D57" s="2" t="s">
        <v>120</v>
      </c>
      <c r="E57" t="s">
        <v>170</v>
      </c>
      <c r="F57" t="s">
        <v>203</v>
      </c>
      <c r="G57" t="s">
        <v>205</v>
      </c>
      <c r="H57" t="s">
        <v>198</v>
      </c>
    </row>
    <row r="58" spans="1:8">
      <c r="A58" s="2">
        <v>4211219</v>
      </c>
      <c r="B58" t="str">
        <f t="shared" si="2"/>
        <v>42112190</v>
      </c>
      <c r="C58" t="str">
        <f t="shared" si="3"/>
        <v>n42112190</v>
      </c>
      <c r="D58" s="2" t="s">
        <v>121</v>
      </c>
      <c r="E58" t="s">
        <v>170</v>
      </c>
      <c r="F58" t="s">
        <v>203</v>
      </c>
      <c r="G58" t="s">
        <v>205</v>
      </c>
      <c r="H58" t="s">
        <v>197</v>
      </c>
    </row>
    <row r="59" spans="1:8">
      <c r="A59" s="2">
        <v>4211212</v>
      </c>
      <c r="B59" t="str">
        <f t="shared" si="2"/>
        <v>42112120</v>
      </c>
      <c r="C59" t="str">
        <f t="shared" si="3"/>
        <v>n42112120</v>
      </c>
      <c r="D59" s="2" t="s">
        <v>122</v>
      </c>
      <c r="E59" t="s">
        <v>170</v>
      </c>
      <c r="F59" t="s">
        <v>203</v>
      </c>
      <c r="G59" t="s">
        <v>205</v>
      </c>
      <c r="H59" t="s">
        <v>197</v>
      </c>
    </row>
    <row r="60" spans="1:8">
      <c r="A60" s="2">
        <v>4211229</v>
      </c>
      <c r="B60" t="str">
        <f t="shared" si="2"/>
        <v>42112290</v>
      </c>
      <c r="C60" t="str">
        <f t="shared" si="3"/>
        <v>n42112290</v>
      </c>
      <c r="D60" s="2" t="s">
        <v>123</v>
      </c>
      <c r="E60" t="s">
        <v>170</v>
      </c>
      <c r="F60" t="s">
        <v>203</v>
      </c>
      <c r="G60" t="s">
        <v>205</v>
      </c>
      <c r="H60" t="s">
        <v>198</v>
      </c>
    </row>
    <row r="61" spans="1:8">
      <c r="A61" s="2">
        <v>4211222</v>
      </c>
      <c r="B61" t="str">
        <f t="shared" si="2"/>
        <v>42112220</v>
      </c>
      <c r="C61" t="str">
        <f t="shared" si="3"/>
        <v>n42112220</v>
      </c>
      <c r="D61" s="2" t="s">
        <v>124</v>
      </c>
      <c r="E61" t="s">
        <v>170</v>
      </c>
      <c r="F61" t="s">
        <v>203</v>
      </c>
      <c r="G61" t="s">
        <v>205</v>
      </c>
      <c r="H61" t="s">
        <v>198</v>
      </c>
    </row>
    <row r="62" spans="1:8">
      <c r="A62" s="2">
        <v>4212119</v>
      </c>
      <c r="B62" t="str">
        <f t="shared" si="2"/>
        <v>42121190</v>
      </c>
      <c r="C62" t="str">
        <f t="shared" si="3"/>
        <v>n42121190</v>
      </c>
      <c r="D62" s="2" t="s">
        <v>125</v>
      </c>
      <c r="E62" t="s">
        <v>170</v>
      </c>
      <c r="F62" t="s">
        <v>203</v>
      </c>
      <c r="G62" t="s">
        <v>205</v>
      </c>
      <c r="H62" t="s">
        <v>199</v>
      </c>
    </row>
    <row r="63" spans="1:8">
      <c r="A63" s="2">
        <v>4212112</v>
      </c>
      <c r="B63" t="str">
        <f t="shared" si="2"/>
        <v>42121120</v>
      </c>
      <c r="C63" t="str">
        <f t="shared" si="3"/>
        <v>n42121120</v>
      </c>
      <c r="D63" s="2" t="s">
        <v>126</v>
      </c>
      <c r="E63" t="s">
        <v>170</v>
      </c>
      <c r="F63" t="s">
        <v>203</v>
      </c>
      <c r="G63" t="s">
        <v>205</v>
      </c>
      <c r="H63" t="s">
        <v>199</v>
      </c>
    </row>
    <row r="64" spans="1:8">
      <c r="A64" s="2">
        <v>4212129</v>
      </c>
      <c r="B64" t="str">
        <f t="shared" si="2"/>
        <v>42121290</v>
      </c>
      <c r="C64" t="str">
        <f t="shared" si="3"/>
        <v>n42121290</v>
      </c>
      <c r="D64" s="2" t="s">
        <v>127</v>
      </c>
      <c r="E64" t="s">
        <v>170</v>
      </c>
      <c r="F64" t="s">
        <v>203</v>
      </c>
      <c r="G64" t="s">
        <v>205</v>
      </c>
      <c r="H64" t="s">
        <v>199</v>
      </c>
    </row>
    <row r="65" spans="1:8">
      <c r="A65" s="2">
        <v>4212122</v>
      </c>
      <c r="B65" t="str">
        <f t="shared" si="2"/>
        <v>42121220</v>
      </c>
      <c r="C65" t="str">
        <f t="shared" si="3"/>
        <v>n42121220</v>
      </c>
      <c r="D65" s="2" t="s">
        <v>128</v>
      </c>
      <c r="E65" t="s">
        <v>170</v>
      </c>
      <c r="F65" t="s">
        <v>203</v>
      </c>
      <c r="G65" t="s">
        <v>205</v>
      </c>
      <c r="H65" t="s">
        <v>199</v>
      </c>
    </row>
    <row r="66" spans="1:8">
      <c r="A66" s="2">
        <v>4212219</v>
      </c>
      <c r="B66" t="str">
        <f t="shared" si="2"/>
        <v>42122190</v>
      </c>
      <c r="C66" t="str">
        <f t="shared" si="3"/>
        <v>n42122190</v>
      </c>
      <c r="D66" s="2" t="s">
        <v>129</v>
      </c>
      <c r="E66" t="s">
        <v>170</v>
      </c>
      <c r="F66" t="s">
        <v>203</v>
      </c>
      <c r="G66" t="s">
        <v>205</v>
      </c>
      <c r="H66" t="s">
        <v>200</v>
      </c>
    </row>
    <row r="67" spans="1:8">
      <c r="A67" s="2">
        <v>4212212</v>
      </c>
      <c r="B67" t="str">
        <f t="shared" si="2"/>
        <v>42122120</v>
      </c>
      <c r="C67" t="str">
        <f t="shared" si="3"/>
        <v>n42122120</v>
      </c>
      <c r="D67" s="2" t="s">
        <v>130</v>
      </c>
      <c r="E67" t="s">
        <v>170</v>
      </c>
      <c r="F67" t="s">
        <v>203</v>
      </c>
      <c r="G67" t="s">
        <v>205</v>
      </c>
      <c r="H67" t="s">
        <v>200</v>
      </c>
    </row>
    <row r="68" spans="1:8">
      <c r="A68" s="2">
        <v>4212229</v>
      </c>
      <c r="B68" t="str">
        <f t="shared" si="2"/>
        <v>42122290</v>
      </c>
      <c r="C68" t="str">
        <f t="shared" si="3"/>
        <v>n42122290</v>
      </c>
      <c r="D68" s="2" t="s">
        <v>131</v>
      </c>
      <c r="E68" t="s">
        <v>170</v>
      </c>
      <c r="F68" t="s">
        <v>203</v>
      </c>
      <c r="G68" t="s">
        <v>205</v>
      </c>
      <c r="H68" t="s">
        <v>200</v>
      </c>
    </row>
    <row r="69" spans="1:8">
      <c r="A69" s="2">
        <v>4212222</v>
      </c>
      <c r="B69" t="str">
        <f t="shared" ref="B69:B96" si="4">A69&amp;REPT("0",8-LEN(A69))</f>
        <v>42122220</v>
      </c>
      <c r="C69" t="str">
        <f t="shared" ref="C69:C96" si="5">_xlfn.CONCAT("n",B69)</f>
        <v>n42122220</v>
      </c>
      <c r="D69" s="2" t="s">
        <v>132</v>
      </c>
      <c r="E69" t="s">
        <v>170</v>
      </c>
      <c r="F69" t="s">
        <v>203</v>
      </c>
      <c r="G69" t="s">
        <v>205</v>
      </c>
      <c r="H69" t="s">
        <v>200</v>
      </c>
    </row>
    <row r="70" spans="1:8">
      <c r="A70" s="2">
        <v>422119</v>
      </c>
      <c r="B70" t="str">
        <f t="shared" si="4"/>
        <v>42211900</v>
      </c>
      <c r="C70" t="str">
        <f t="shared" si="5"/>
        <v>n42211900</v>
      </c>
      <c r="D70" s="2" t="s">
        <v>133</v>
      </c>
      <c r="E70" t="s">
        <v>170</v>
      </c>
      <c r="F70" t="s">
        <v>202</v>
      </c>
      <c r="G70" t="s">
        <v>205</v>
      </c>
      <c r="H70" t="s">
        <v>197</v>
      </c>
    </row>
    <row r="71" spans="1:8">
      <c r="A71" s="2">
        <v>422112</v>
      </c>
      <c r="B71" t="str">
        <f t="shared" si="4"/>
        <v>42211200</v>
      </c>
      <c r="C71" t="str">
        <f t="shared" si="5"/>
        <v>n42211200</v>
      </c>
      <c r="D71" s="2" t="s">
        <v>134</v>
      </c>
      <c r="E71" t="s">
        <v>170</v>
      </c>
      <c r="F71" t="s">
        <v>164</v>
      </c>
      <c r="G71" t="s">
        <v>205</v>
      </c>
      <c r="H71" t="s">
        <v>197</v>
      </c>
    </row>
    <row r="72" spans="1:8">
      <c r="A72" s="2">
        <v>422129</v>
      </c>
      <c r="B72" t="str">
        <f t="shared" si="4"/>
        <v>42212900</v>
      </c>
      <c r="C72" t="str">
        <f t="shared" si="5"/>
        <v>n42212900</v>
      </c>
      <c r="D72" s="2" t="s">
        <v>135</v>
      </c>
      <c r="E72" t="s">
        <v>170</v>
      </c>
      <c r="F72" t="s">
        <v>202</v>
      </c>
      <c r="G72" t="s">
        <v>205</v>
      </c>
      <c r="H72" t="s">
        <v>198</v>
      </c>
    </row>
    <row r="73" spans="1:8">
      <c r="A73" s="2">
        <v>422122</v>
      </c>
      <c r="B73" t="str">
        <f t="shared" si="4"/>
        <v>42212200</v>
      </c>
      <c r="C73" t="str">
        <f t="shared" si="5"/>
        <v>n42212200</v>
      </c>
      <c r="D73" s="2" t="s">
        <v>136</v>
      </c>
      <c r="E73" t="s">
        <v>170</v>
      </c>
      <c r="F73" t="s">
        <v>164</v>
      </c>
      <c r="G73" t="s">
        <v>205</v>
      </c>
      <c r="H73" t="s">
        <v>198</v>
      </c>
    </row>
    <row r="74" spans="1:8">
      <c r="A74" s="2">
        <v>4222119</v>
      </c>
      <c r="B74" t="str">
        <f t="shared" si="4"/>
        <v>42221190</v>
      </c>
      <c r="C74" t="str">
        <f t="shared" si="5"/>
        <v>n42221190</v>
      </c>
      <c r="D74" s="2" t="s">
        <v>137</v>
      </c>
      <c r="E74" t="s">
        <v>170</v>
      </c>
      <c r="F74" t="s">
        <v>202</v>
      </c>
      <c r="G74" t="s">
        <v>205</v>
      </c>
      <c r="H74" t="s">
        <v>199</v>
      </c>
    </row>
    <row r="75" spans="1:8">
      <c r="A75" s="2">
        <v>4222112</v>
      </c>
      <c r="B75" t="str">
        <f t="shared" si="4"/>
        <v>42221120</v>
      </c>
      <c r="C75" t="str">
        <f t="shared" si="5"/>
        <v>n42221120</v>
      </c>
      <c r="D75" s="2" t="s">
        <v>138</v>
      </c>
      <c r="E75" t="s">
        <v>170</v>
      </c>
      <c r="F75" t="s">
        <v>164</v>
      </c>
      <c r="G75" t="s">
        <v>205</v>
      </c>
      <c r="H75" t="s">
        <v>199</v>
      </c>
    </row>
    <row r="76" spans="1:8">
      <c r="A76" s="2">
        <v>42221219</v>
      </c>
      <c r="B76" t="str">
        <f t="shared" si="4"/>
        <v>42221219</v>
      </c>
      <c r="C76" t="str">
        <f t="shared" si="5"/>
        <v>n42221219</v>
      </c>
      <c r="D76" s="2" t="s">
        <v>139</v>
      </c>
      <c r="E76" t="s">
        <v>170</v>
      </c>
      <c r="F76" t="s">
        <v>202</v>
      </c>
      <c r="G76" t="s">
        <v>205</v>
      </c>
      <c r="H76" t="s">
        <v>199</v>
      </c>
    </row>
    <row r="77" spans="1:8">
      <c r="A77" s="2">
        <v>42221212</v>
      </c>
      <c r="B77" t="str">
        <f t="shared" si="4"/>
        <v>42221212</v>
      </c>
      <c r="C77" t="str">
        <f t="shared" si="5"/>
        <v>n42221212</v>
      </c>
      <c r="D77" s="2" t="s">
        <v>140</v>
      </c>
      <c r="E77" t="s">
        <v>170</v>
      </c>
      <c r="F77" t="s">
        <v>164</v>
      </c>
      <c r="G77" t="s">
        <v>205</v>
      </c>
      <c r="H77" t="s">
        <v>199</v>
      </c>
    </row>
    <row r="78" spans="1:8">
      <c r="A78" s="2">
        <v>42221229</v>
      </c>
      <c r="B78" t="str">
        <f t="shared" si="4"/>
        <v>42221229</v>
      </c>
      <c r="C78" t="str">
        <f t="shared" si="5"/>
        <v>n42221229</v>
      </c>
      <c r="D78" s="2" t="s">
        <v>141</v>
      </c>
      <c r="E78" t="s">
        <v>170</v>
      </c>
      <c r="F78" t="s">
        <v>202</v>
      </c>
      <c r="G78" t="s">
        <v>205</v>
      </c>
      <c r="H78" t="s">
        <v>199</v>
      </c>
    </row>
    <row r="79" spans="1:8">
      <c r="A79" s="2">
        <v>42221222</v>
      </c>
      <c r="B79" t="str">
        <f t="shared" si="4"/>
        <v>42221222</v>
      </c>
      <c r="C79" t="str">
        <f t="shared" si="5"/>
        <v>n42221222</v>
      </c>
      <c r="D79" s="2" t="s">
        <v>142</v>
      </c>
      <c r="E79" t="s">
        <v>170</v>
      </c>
      <c r="F79" t="s">
        <v>164</v>
      </c>
      <c r="G79" t="s">
        <v>205</v>
      </c>
      <c r="H79" t="s">
        <v>199</v>
      </c>
    </row>
    <row r="80" spans="1:8">
      <c r="A80" s="2">
        <v>422229</v>
      </c>
      <c r="B80" t="str">
        <f t="shared" si="4"/>
        <v>42222900</v>
      </c>
      <c r="C80" t="str">
        <f t="shared" si="5"/>
        <v>n42222900</v>
      </c>
      <c r="D80" s="2" t="s">
        <v>143</v>
      </c>
      <c r="E80" t="s">
        <v>170</v>
      </c>
      <c r="F80" t="s">
        <v>202</v>
      </c>
      <c r="G80" t="s">
        <v>205</v>
      </c>
      <c r="H80" t="s">
        <v>200</v>
      </c>
    </row>
    <row r="81" spans="1:8" s="4" customFormat="1">
      <c r="A81" s="3">
        <v>422222</v>
      </c>
      <c r="B81" s="4" t="str">
        <f t="shared" si="4"/>
        <v>42222200</v>
      </c>
      <c r="C81" s="4" t="str">
        <f t="shared" si="5"/>
        <v>n42222200</v>
      </c>
      <c r="D81" s="3" t="s">
        <v>144</v>
      </c>
      <c r="E81" s="4" t="s">
        <v>170</v>
      </c>
      <c r="F81" s="4" t="s">
        <v>164</v>
      </c>
      <c r="G81" s="4" t="s">
        <v>205</v>
      </c>
      <c r="H81" s="4" t="s">
        <v>200</v>
      </c>
    </row>
    <row r="82" spans="1:8">
      <c r="A82" s="2">
        <v>51</v>
      </c>
      <c r="B82" t="str">
        <f t="shared" si="4"/>
        <v>51000000</v>
      </c>
      <c r="C82" t="str">
        <f t="shared" si="5"/>
        <v>n51000000</v>
      </c>
      <c r="D82" s="2" t="s">
        <v>66</v>
      </c>
      <c r="E82" t="s">
        <v>171</v>
      </c>
      <c r="F82" t="s">
        <v>162</v>
      </c>
      <c r="G82" t="s">
        <v>206</v>
      </c>
      <c r="H82" t="s">
        <v>201</v>
      </c>
    </row>
    <row r="83" spans="1:8">
      <c r="A83" s="2">
        <v>5219</v>
      </c>
      <c r="B83" t="str">
        <f t="shared" si="4"/>
        <v>52190000</v>
      </c>
      <c r="C83" t="str">
        <f t="shared" si="5"/>
        <v>n52190000</v>
      </c>
      <c r="D83" s="2" t="s">
        <v>145</v>
      </c>
      <c r="E83" t="s">
        <v>171</v>
      </c>
      <c r="F83" t="s">
        <v>163</v>
      </c>
      <c r="G83" t="s">
        <v>206</v>
      </c>
      <c r="H83" t="s">
        <v>201</v>
      </c>
    </row>
    <row r="84" spans="1:8">
      <c r="A84" s="2">
        <v>5212</v>
      </c>
      <c r="B84" t="str">
        <f t="shared" si="4"/>
        <v>52120000</v>
      </c>
      <c r="C84" t="str">
        <f t="shared" si="5"/>
        <v>n52120000</v>
      </c>
      <c r="D84" s="2" t="s">
        <v>146</v>
      </c>
      <c r="E84" t="s">
        <v>171</v>
      </c>
      <c r="F84" t="s">
        <v>163</v>
      </c>
      <c r="G84" t="s">
        <v>206</v>
      </c>
      <c r="H84" t="s">
        <v>201</v>
      </c>
    </row>
    <row r="85" spans="1:8">
      <c r="A85" s="2">
        <v>5222</v>
      </c>
      <c r="B85" t="str">
        <f t="shared" si="4"/>
        <v>52220000</v>
      </c>
      <c r="C85" t="str">
        <f t="shared" si="5"/>
        <v>n52220000</v>
      </c>
      <c r="D85" s="2" t="s">
        <v>147</v>
      </c>
      <c r="E85" t="s">
        <v>171</v>
      </c>
      <c r="F85" t="s">
        <v>163</v>
      </c>
      <c r="G85" t="s">
        <v>206</v>
      </c>
      <c r="H85" t="s">
        <v>201</v>
      </c>
    </row>
    <row r="86" spans="1:8">
      <c r="A86" s="2">
        <v>5239</v>
      </c>
      <c r="B86" t="str">
        <f t="shared" si="4"/>
        <v>52390000</v>
      </c>
      <c r="C86" t="str">
        <f t="shared" si="5"/>
        <v>n52390000</v>
      </c>
      <c r="D86" s="2" t="s">
        <v>148</v>
      </c>
      <c r="E86" t="s">
        <v>171</v>
      </c>
      <c r="F86" t="s">
        <v>163</v>
      </c>
      <c r="G86" t="s">
        <v>206</v>
      </c>
      <c r="H86" t="s">
        <v>201</v>
      </c>
    </row>
    <row r="87" spans="1:8">
      <c r="A87" s="2">
        <v>5232</v>
      </c>
      <c r="B87" t="str">
        <f t="shared" si="4"/>
        <v>52320000</v>
      </c>
      <c r="C87" t="str">
        <f t="shared" si="5"/>
        <v>n52320000</v>
      </c>
      <c r="D87" s="2" t="s">
        <v>149</v>
      </c>
      <c r="E87" t="s">
        <v>171</v>
      </c>
      <c r="F87" t="s">
        <v>163</v>
      </c>
      <c r="G87" t="s">
        <v>206</v>
      </c>
      <c r="H87" t="s">
        <v>201</v>
      </c>
    </row>
    <row r="88" spans="1:8">
      <c r="A88" s="2">
        <v>539</v>
      </c>
      <c r="B88" t="str">
        <f t="shared" si="4"/>
        <v>53900000</v>
      </c>
      <c r="C88" t="str">
        <f t="shared" si="5"/>
        <v>n53900000</v>
      </c>
      <c r="D88" s="2" t="s">
        <v>150</v>
      </c>
      <c r="E88" t="s">
        <v>171</v>
      </c>
      <c r="F88" t="s">
        <v>166</v>
      </c>
      <c r="G88" t="s">
        <v>206</v>
      </c>
      <c r="H88" t="s">
        <v>201</v>
      </c>
    </row>
    <row r="89" spans="1:8" s="4" customFormat="1">
      <c r="A89" s="3">
        <v>532</v>
      </c>
      <c r="B89" s="4" t="str">
        <f t="shared" si="4"/>
        <v>53200000</v>
      </c>
      <c r="C89" s="4" t="str">
        <f t="shared" si="5"/>
        <v>n53200000</v>
      </c>
      <c r="D89" s="3" t="s">
        <v>151</v>
      </c>
      <c r="E89" s="4" t="s">
        <v>171</v>
      </c>
      <c r="F89" s="4" t="s">
        <v>166</v>
      </c>
      <c r="G89" s="4" t="s">
        <v>206</v>
      </c>
      <c r="H89" s="4" t="s">
        <v>201</v>
      </c>
    </row>
    <row r="90" spans="1:8">
      <c r="A90" s="2">
        <v>61</v>
      </c>
      <c r="B90" t="str">
        <f t="shared" si="4"/>
        <v>61000000</v>
      </c>
      <c r="C90" t="str">
        <f t="shared" si="5"/>
        <v>n61000000</v>
      </c>
      <c r="D90" s="2" t="s">
        <v>152</v>
      </c>
      <c r="E90" t="s">
        <v>172</v>
      </c>
      <c r="F90" t="s">
        <v>167</v>
      </c>
      <c r="G90" t="s">
        <v>206</v>
      </c>
      <c r="H90" t="s">
        <v>201</v>
      </c>
    </row>
    <row r="91" spans="1:8">
      <c r="A91" s="2">
        <v>6212</v>
      </c>
      <c r="B91" t="str">
        <f t="shared" si="4"/>
        <v>62120000</v>
      </c>
      <c r="C91" t="str">
        <f t="shared" si="5"/>
        <v>n62120000</v>
      </c>
      <c r="D91" s="2" t="s">
        <v>153</v>
      </c>
      <c r="E91" t="s">
        <v>172</v>
      </c>
      <c r="F91" t="s">
        <v>168</v>
      </c>
      <c r="G91" t="s">
        <v>206</v>
      </c>
      <c r="H91" t="s">
        <v>201</v>
      </c>
    </row>
    <row r="92" spans="1:8">
      <c r="A92" s="2">
        <v>6229</v>
      </c>
      <c r="B92" t="str">
        <f t="shared" si="4"/>
        <v>62290000</v>
      </c>
      <c r="C92" t="str">
        <f t="shared" si="5"/>
        <v>n62290000</v>
      </c>
      <c r="D92" s="2" t="s">
        <v>154</v>
      </c>
      <c r="E92" t="s">
        <v>172</v>
      </c>
      <c r="F92" t="s">
        <v>168</v>
      </c>
      <c r="G92" t="s">
        <v>206</v>
      </c>
      <c r="H92" t="s">
        <v>201</v>
      </c>
    </row>
    <row r="93" spans="1:8">
      <c r="A93" s="2">
        <v>6222</v>
      </c>
      <c r="B93" t="str">
        <f t="shared" si="4"/>
        <v>62220000</v>
      </c>
      <c r="C93" t="str">
        <f t="shared" si="5"/>
        <v>n62220000</v>
      </c>
      <c r="D93" s="2" t="s">
        <v>155</v>
      </c>
      <c r="E93" t="s">
        <v>172</v>
      </c>
      <c r="F93" t="s">
        <v>168</v>
      </c>
      <c r="G93" t="s">
        <v>206</v>
      </c>
      <c r="H93" t="s">
        <v>201</v>
      </c>
    </row>
    <row r="94" spans="1:8">
      <c r="A94" s="2">
        <v>639</v>
      </c>
      <c r="B94" t="str">
        <f t="shared" si="4"/>
        <v>63900000</v>
      </c>
      <c r="C94" t="str">
        <f t="shared" si="5"/>
        <v>n63900000</v>
      </c>
      <c r="D94" s="2" t="s">
        <v>156</v>
      </c>
      <c r="E94" t="s">
        <v>172</v>
      </c>
      <c r="F94" t="s">
        <v>169</v>
      </c>
      <c r="G94" t="s">
        <v>206</v>
      </c>
      <c r="H94" t="s">
        <v>201</v>
      </c>
    </row>
    <row r="95" spans="1:8" s="4" customFormat="1">
      <c r="A95" s="3">
        <v>632</v>
      </c>
      <c r="B95" s="4" t="str">
        <f t="shared" si="4"/>
        <v>63200000</v>
      </c>
      <c r="C95" s="4" t="str">
        <f t="shared" si="5"/>
        <v>n63200000</v>
      </c>
      <c r="D95" s="3" t="s">
        <v>157</v>
      </c>
      <c r="E95" s="4" t="s">
        <v>172</v>
      </c>
      <c r="F95" s="4" t="s">
        <v>169</v>
      </c>
      <c r="G95" s="4" t="s">
        <v>206</v>
      </c>
      <c r="H95" s="4" t="s">
        <v>201</v>
      </c>
    </row>
    <row r="96" spans="1:8">
      <c r="A96" s="2">
        <v>7</v>
      </c>
      <c r="B96" t="str">
        <f t="shared" si="4"/>
        <v>70000000</v>
      </c>
      <c r="C96" t="str">
        <f t="shared" si="5"/>
        <v>n70000000</v>
      </c>
      <c r="D96" s="2" t="s">
        <v>173</v>
      </c>
      <c r="E96" t="s">
        <v>174</v>
      </c>
      <c r="F96" t="s">
        <v>174</v>
      </c>
      <c r="G96" t="s">
        <v>206</v>
      </c>
      <c r="H96" t="s">
        <v>201</v>
      </c>
    </row>
  </sheetData>
  <autoFilter ref="A1:H96" xr:uid="{6A7BB84B-4BF3-4978-BFCA-0C4F8A30C442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1974-558D-4EB1-9D1E-9764328DD772}">
  <dimension ref="A1:I96"/>
  <sheetViews>
    <sheetView tabSelected="1" workbookViewId="0">
      <pane ySplit="1" topLeftCell="A14" activePane="bottomLeft" state="frozen"/>
      <selection pane="bottomLeft" activeCell="D24" sqref="D24"/>
    </sheetView>
  </sheetViews>
  <sheetFormatPr defaultRowHeight="14.5"/>
  <cols>
    <col min="1" max="1" width="23.54296875" bestFit="1" customWidth="1"/>
    <col min="2" max="2" width="13.6328125" bestFit="1" customWidth="1"/>
    <col min="3" max="3" width="24.81640625" bestFit="1" customWidth="1"/>
    <col min="4" max="4" width="65.90625" customWidth="1"/>
    <col min="5" max="5" width="15.08984375" bestFit="1" customWidth="1"/>
    <col min="6" max="6" width="30.54296875" bestFit="1" customWidth="1"/>
    <col min="7" max="7" width="23.6328125" customWidth="1"/>
    <col min="8" max="8" width="25.90625" bestFit="1" customWidth="1"/>
  </cols>
  <sheetData>
    <row r="1" spans="1:9">
      <c r="A1" s="1" t="s">
        <v>193</v>
      </c>
      <c r="B1" s="1" t="s">
        <v>194</v>
      </c>
      <c r="C1" s="1" t="s">
        <v>77</v>
      </c>
      <c r="D1" s="1" t="s">
        <v>190</v>
      </c>
      <c r="E1" s="1" t="s">
        <v>191</v>
      </c>
      <c r="F1" s="1" t="s">
        <v>192</v>
      </c>
      <c r="G1" s="1" t="s">
        <v>204</v>
      </c>
      <c r="H1" s="1" t="s">
        <v>195</v>
      </c>
      <c r="I1" s="1" t="s">
        <v>209</v>
      </c>
    </row>
    <row r="2" spans="1:9">
      <c r="A2" s="2">
        <v>111</v>
      </c>
      <c r="B2" t="str">
        <f t="shared" ref="B2:B3" si="0">A2&amp;REPT("0",8-LEN(A2))</f>
        <v>11100000</v>
      </c>
      <c r="C2" t="str">
        <f t="shared" ref="C2:C3" si="1">_xlfn.CONCAT("n",B2)</f>
        <v>n11100000</v>
      </c>
      <c r="D2" s="2" t="s">
        <v>188</v>
      </c>
      <c r="E2" t="s">
        <v>170</v>
      </c>
      <c r="F2" t="s">
        <v>161</v>
      </c>
      <c r="G2" t="s">
        <v>161</v>
      </c>
      <c r="H2" t="s">
        <v>196</v>
      </c>
      <c r="I2" t="str">
        <f>IF(ISNUMBER(SEARCH("9", B2)), "Yes", "No")</f>
        <v>No</v>
      </c>
    </row>
    <row r="3" spans="1:9">
      <c r="A3" s="2">
        <v>112</v>
      </c>
      <c r="B3" t="str">
        <f t="shared" si="0"/>
        <v>11200000</v>
      </c>
      <c r="C3" t="str">
        <f t="shared" si="1"/>
        <v>n11200000</v>
      </c>
      <c r="D3" s="2" t="s">
        <v>189</v>
      </c>
      <c r="E3" t="s">
        <v>170</v>
      </c>
      <c r="F3" t="s">
        <v>160</v>
      </c>
      <c r="G3" t="s">
        <v>160</v>
      </c>
      <c r="H3" t="s">
        <v>196</v>
      </c>
      <c r="I3" t="str">
        <f t="shared" ref="I3:I60" si="2">IF(ISNUMBER(SEARCH("9", B3)), "Yes", "No")</f>
        <v>No</v>
      </c>
    </row>
    <row r="4" spans="1:9">
      <c r="A4" s="2">
        <v>122</v>
      </c>
      <c r="B4" t="str">
        <f>A4&amp;REPT("0",8-LEN(A4))</f>
        <v>12200000</v>
      </c>
      <c r="C4" t="str">
        <f>_xlfn.CONCAT("n",B4)</f>
        <v>n12200000</v>
      </c>
      <c r="D4" s="2" t="s">
        <v>175</v>
      </c>
      <c r="E4" t="s">
        <v>170</v>
      </c>
      <c r="F4" t="s">
        <v>161</v>
      </c>
      <c r="G4" t="s">
        <v>161</v>
      </c>
      <c r="H4" t="s">
        <v>196</v>
      </c>
      <c r="I4" t="str">
        <f t="shared" si="2"/>
        <v>No</v>
      </c>
    </row>
    <row r="5" spans="1:9">
      <c r="A5" s="2">
        <v>123</v>
      </c>
      <c r="B5" t="str">
        <f t="shared" ref="B5:B60" si="3">A5&amp;REPT("0",8-LEN(A5))</f>
        <v>12300000</v>
      </c>
      <c r="C5" t="str">
        <f t="shared" ref="C5:C60" si="4">_xlfn.CONCAT("n",B5)</f>
        <v>n12300000</v>
      </c>
      <c r="D5" s="2" t="s">
        <v>176</v>
      </c>
      <c r="E5" t="s">
        <v>170</v>
      </c>
      <c r="F5" t="s">
        <v>161</v>
      </c>
      <c r="G5" t="s">
        <v>161</v>
      </c>
      <c r="H5" t="s">
        <v>196</v>
      </c>
      <c r="I5" t="str">
        <f t="shared" si="2"/>
        <v>No</v>
      </c>
    </row>
    <row r="6" spans="1:9">
      <c r="A6" s="2">
        <v>124</v>
      </c>
      <c r="B6" t="str">
        <f t="shared" si="3"/>
        <v>12400000</v>
      </c>
      <c r="C6" t="str">
        <f t="shared" si="4"/>
        <v>n12400000</v>
      </c>
      <c r="D6" s="2" t="s">
        <v>177</v>
      </c>
      <c r="E6" t="s">
        <v>170</v>
      </c>
      <c r="F6" t="s">
        <v>161</v>
      </c>
      <c r="G6" t="s">
        <v>161</v>
      </c>
      <c r="H6" t="s">
        <v>196</v>
      </c>
      <c r="I6" t="str">
        <f t="shared" si="2"/>
        <v>No</v>
      </c>
    </row>
    <row r="7" spans="1:9">
      <c r="A7" s="2">
        <v>125</v>
      </c>
      <c r="B7" t="str">
        <f t="shared" si="3"/>
        <v>12500000</v>
      </c>
      <c r="C7" t="str">
        <f t="shared" si="4"/>
        <v>n12500000</v>
      </c>
      <c r="D7" s="2" t="s">
        <v>178</v>
      </c>
      <c r="E7" t="s">
        <v>170</v>
      </c>
      <c r="F7" t="s">
        <v>161</v>
      </c>
      <c r="G7" t="s">
        <v>161</v>
      </c>
      <c r="H7" t="s">
        <v>196</v>
      </c>
      <c r="I7" t="str">
        <f t="shared" si="2"/>
        <v>No</v>
      </c>
    </row>
    <row r="8" spans="1:9">
      <c r="A8" s="2">
        <v>126</v>
      </c>
      <c r="B8" t="str">
        <f t="shared" si="3"/>
        <v>12600000</v>
      </c>
      <c r="C8" t="str">
        <f t="shared" si="4"/>
        <v>n12600000</v>
      </c>
      <c r="D8" s="2" t="s">
        <v>179</v>
      </c>
      <c r="E8" t="s">
        <v>170</v>
      </c>
      <c r="F8" t="s">
        <v>161</v>
      </c>
      <c r="G8" t="s">
        <v>161</v>
      </c>
      <c r="H8" t="s">
        <v>196</v>
      </c>
      <c r="I8" t="str">
        <f t="shared" si="2"/>
        <v>No</v>
      </c>
    </row>
    <row r="9" spans="1:9">
      <c r="A9" s="2">
        <v>127</v>
      </c>
      <c r="B9" t="str">
        <f t="shared" si="3"/>
        <v>12700000</v>
      </c>
      <c r="C9" t="str">
        <f t="shared" si="4"/>
        <v>n12700000</v>
      </c>
      <c r="D9" s="2" t="s">
        <v>180</v>
      </c>
      <c r="E9" t="s">
        <v>170</v>
      </c>
      <c r="F9" t="s">
        <v>161</v>
      </c>
      <c r="G9" t="s">
        <v>161</v>
      </c>
      <c r="H9" t="s">
        <v>196</v>
      </c>
      <c r="I9" t="str">
        <f t="shared" si="2"/>
        <v>No</v>
      </c>
    </row>
    <row r="10" spans="1:9">
      <c r="A10" s="2">
        <v>121</v>
      </c>
      <c r="B10" t="str">
        <f t="shared" si="3"/>
        <v>12100000</v>
      </c>
      <c r="C10" t="str">
        <f t="shared" si="4"/>
        <v>n12100000</v>
      </c>
      <c r="D10" s="2" t="s">
        <v>181</v>
      </c>
      <c r="E10" t="s">
        <v>170</v>
      </c>
      <c r="F10" t="s">
        <v>161</v>
      </c>
      <c r="G10" t="s">
        <v>161</v>
      </c>
      <c r="H10" t="s">
        <v>196</v>
      </c>
      <c r="I10" t="str">
        <f t="shared" si="2"/>
        <v>No</v>
      </c>
    </row>
    <row r="11" spans="1:9">
      <c r="A11" s="2">
        <v>131</v>
      </c>
      <c r="B11" t="str">
        <f t="shared" si="3"/>
        <v>13100000</v>
      </c>
      <c r="C11" t="str">
        <f t="shared" si="4"/>
        <v>n13100000</v>
      </c>
      <c r="D11" s="2" t="s">
        <v>182</v>
      </c>
      <c r="E11" t="s">
        <v>170</v>
      </c>
      <c r="F11" t="s">
        <v>161</v>
      </c>
      <c r="G11" t="s">
        <v>161</v>
      </c>
      <c r="H11" t="s">
        <v>196</v>
      </c>
      <c r="I11" t="str">
        <f t="shared" si="2"/>
        <v>No</v>
      </c>
    </row>
    <row r="12" spans="1:9">
      <c r="A12" s="2">
        <v>132</v>
      </c>
      <c r="B12" t="str">
        <f t="shared" si="3"/>
        <v>13200000</v>
      </c>
      <c r="C12" t="str">
        <f t="shared" si="4"/>
        <v>n13200000</v>
      </c>
      <c r="D12" s="2" t="s">
        <v>183</v>
      </c>
      <c r="E12" t="s">
        <v>170</v>
      </c>
      <c r="F12" t="s">
        <v>164</v>
      </c>
      <c r="G12" t="s">
        <v>205</v>
      </c>
      <c r="H12" t="s">
        <v>196</v>
      </c>
      <c r="I12" t="str">
        <f t="shared" si="2"/>
        <v>No</v>
      </c>
    </row>
    <row r="13" spans="1:9">
      <c r="A13" s="2">
        <v>100</v>
      </c>
      <c r="B13" t="str">
        <f t="shared" si="3"/>
        <v>10000000</v>
      </c>
      <c r="C13" t="str">
        <f t="shared" si="4"/>
        <v>n10000000</v>
      </c>
      <c r="D13" s="2" t="s">
        <v>184</v>
      </c>
      <c r="E13" t="s">
        <v>170</v>
      </c>
      <c r="F13" t="s">
        <v>187</v>
      </c>
      <c r="G13" t="s">
        <v>160</v>
      </c>
      <c r="H13" t="s">
        <v>196</v>
      </c>
      <c r="I13" t="str">
        <f t="shared" si="2"/>
        <v>No</v>
      </c>
    </row>
    <row r="14" spans="1:9">
      <c r="A14" s="2">
        <v>101</v>
      </c>
      <c r="B14" t="str">
        <f t="shared" si="3"/>
        <v>10100000</v>
      </c>
      <c r="C14" t="str">
        <f t="shared" si="4"/>
        <v>n10100000</v>
      </c>
      <c r="D14" s="2" t="s">
        <v>185</v>
      </c>
      <c r="E14" t="s">
        <v>170</v>
      </c>
      <c r="F14" t="s">
        <v>187</v>
      </c>
      <c r="G14" t="s">
        <v>206</v>
      </c>
      <c r="H14" t="s">
        <v>196</v>
      </c>
      <c r="I14" t="str">
        <f t="shared" si="2"/>
        <v>No</v>
      </c>
    </row>
    <row r="15" spans="1:9" s="4" customFormat="1">
      <c r="A15" s="3">
        <v>102</v>
      </c>
      <c r="B15" s="4" t="str">
        <f t="shared" si="3"/>
        <v>10200000</v>
      </c>
      <c r="C15" s="4" t="str">
        <f t="shared" si="4"/>
        <v>n10200000</v>
      </c>
      <c r="D15" s="3" t="s">
        <v>186</v>
      </c>
      <c r="E15" s="4" t="s">
        <v>170</v>
      </c>
      <c r="F15" s="4" t="s">
        <v>187</v>
      </c>
      <c r="G15" s="4" t="s">
        <v>161</v>
      </c>
      <c r="H15" s="4" t="s">
        <v>196</v>
      </c>
      <c r="I15" s="4" t="str">
        <f t="shared" si="2"/>
        <v>No</v>
      </c>
    </row>
    <row r="16" spans="1:9">
      <c r="A16" s="2">
        <v>211</v>
      </c>
      <c r="B16" t="str">
        <f t="shared" si="3"/>
        <v>21100000</v>
      </c>
      <c r="C16" t="str">
        <f t="shared" si="4"/>
        <v>n21100000</v>
      </c>
      <c r="D16" s="2" t="s">
        <v>79</v>
      </c>
      <c r="E16" t="s">
        <v>170</v>
      </c>
      <c r="F16" t="s">
        <v>160</v>
      </c>
      <c r="G16" t="s">
        <v>160</v>
      </c>
      <c r="H16" t="s">
        <v>197</v>
      </c>
      <c r="I16" t="str">
        <f t="shared" si="2"/>
        <v>No</v>
      </c>
    </row>
    <row r="17" spans="1:9">
      <c r="A17" s="2">
        <v>212</v>
      </c>
      <c r="B17" t="str">
        <f t="shared" si="3"/>
        <v>21200000</v>
      </c>
      <c r="C17" t="str">
        <f t="shared" si="4"/>
        <v>n21200000</v>
      </c>
      <c r="D17" s="2" t="s">
        <v>80</v>
      </c>
      <c r="E17" t="s">
        <v>170</v>
      </c>
      <c r="F17" t="s">
        <v>160</v>
      </c>
      <c r="G17" t="s">
        <v>160</v>
      </c>
      <c r="H17" t="s">
        <v>198</v>
      </c>
      <c r="I17" t="str">
        <f t="shared" si="2"/>
        <v>No</v>
      </c>
    </row>
    <row r="18" spans="1:9">
      <c r="A18" s="2">
        <v>221</v>
      </c>
      <c r="B18" t="str">
        <f t="shared" si="3"/>
        <v>22100000</v>
      </c>
      <c r="C18" t="str">
        <f t="shared" si="4"/>
        <v>n22100000</v>
      </c>
      <c r="D18" s="2" t="s">
        <v>81</v>
      </c>
      <c r="E18" t="s">
        <v>170</v>
      </c>
      <c r="F18" t="s">
        <v>160</v>
      </c>
      <c r="G18" t="s">
        <v>160</v>
      </c>
      <c r="H18" t="s">
        <v>199</v>
      </c>
      <c r="I18" t="str">
        <f t="shared" si="2"/>
        <v>No</v>
      </c>
    </row>
    <row r="19" spans="1:9" s="4" customFormat="1">
      <c r="A19" s="3">
        <v>222</v>
      </c>
      <c r="B19" s="4" t="str">
        <f t="shared" si="3"/>
        <v>22200000</v>
      </c>
      <c r="C19" s="4" t="str">
        <f t="shared" si="4"/>
        <v>n22200000</v>
      </c>
      <c r="D19" s="3" t="s">
        <v>215</v>
      </c>
      <c r="E19" s="4" t="s">
        <v>170</v>
      </c>
      <c r="F19" s="4" t="s">
        <v>160</v>
      </c>
      <c r="G19" s="4" t="s">
        <v>160</v>
      </c>
      <c r="H19" s="4" t="s">
        <v>200</v>
      </c>
      <c r="I19" s="4" t="str">
        <f t="shared" si="2"/>
        <v>No</v>
      </c>
    </row>
    <row r="20" spans="1:9">
      <c r="A20" s="2">
        <v>31119</v>
      </c>
      <c r="B20" t="str">
        <f t="shared" si="3"/>
        <v>31119000</v>
      </c>
      <c r="C20" t="str">
        <f t="shared" si="4"/>
        <v>n31119000</v>
      </c>
      <c r="D20" s="2" t="s">
        <v>216</v>
      </c>
      <c r="E20" t="s">
        <v>170</v>
      </c>
      <c r="F20" t="s">
        <v>161</v>
      </c>
      <c r="G20" t="s">
        <v>161</v>
      </c>
      <c r="H20" t="s">
        <v>197</v>
      </c>
      <c r="I20" t="str">
        <f t="shared" si="2"/>
        <v>Yes</v>
      </c>
    </row>
    <row r="21" spans="1:9">
      <c r="A21" s="2">
        <v>31112</v>
      </c>
      <c r="B21" t="str">
        <f t="shared" si="3"/>
        <v>31112000</v>
      </c>
      <c r="C21" t="str">
        <f t="shared" si="4"/>
        <v>n31112000</v>
      </c>
      <c r="D21" s="2" t="s">
        <v>217</v>
      </c>
      <c r="E21" t="s">
        <v>170</v>
      </c>
      <c r="F21" t="s">
        <v>161</v>
      </c>
      <c r="G21" t="s">
        <v>161</v>
      </c>
      <c r="H21" t="s">
        <v>197</v>
      </c>
      <c r="I21" t="str">
        <f t="shared" si="2"/>
        <v>No</v>
      </c>
    </row>
    <row r="22" spans="1:9">
      <c r="A22" s="2">
        <v>31122</v>
      </c>
      <c r="B22" t="str">
        <f t="shared" ref="B22:B24" si="5">A22&amp;REPT("0",8-LEN(A22))</f>
        <v>31122000</v>
      </c>
      <c r="C22" t="str">
        <f t="shared" ref="C22:C24" si="6">_xlfn.CONCAT("n",B22)</f>
        <v>n31122000</v>
      </c>
      <c r="D22" s="2" t="s">
        <v>219</v>
      </c>
      <c r="E22" t="s">
        <v>170</v>
      </c>
      <c r="F22" t="s">
        <v>161</v>
      </c>
      <c r="G22" t="s">
        <v>161</v>
      </c>
      <c r="H22" t="s">
        <v>197</v>
      </c>
      <c r="I22" t="str">
        <f t="shared" ref="I22:I24" si="7">IF(ISNUMBER(SEARCH("9", B22)), "Yes", "No")</f>
        <v>No</v>
      </c>
    </row>
    <row r="23" spans="1:9">
      <c r="A23" s="2">
        <v>31129</v>
      </c>
      <c r="B23" t="str">
        <f t="shared" si="5"/>
        <v>31129000</v>
      </c>
      <c r="C23" t="str">
        <f t="shared" si="6"/>
        <v>n31129000</v>
      </c>
      <c r="D23" s="2" t="s">
        <v>218</v>
      </c>
      <c r="E23" t="s">
        <v>170</v>
      </c>
      <c r="F23" t="s">
        <v>161</v>
      </c>
      <c r="G23" t="s">
        <v>161</v>
      </c>
      <c r="H23" t="s">
        <v>197</v>
      </c>
      <c r="I23" t="str">
        <f t="shared" si="7"/>
        <v>Yes</v>
      </c>
    </row>
    <row r="24" spans="1:9">
      <c r="A24" s="2">
        <v>31132</v>
      </c>
      <c r="B24" t="str">
        <f t="shared" si="5"/>
        <v>31132000</v>
      </c>
      <c r="C24" t="str">
        <f t="shared" si="6"/>
        <v>n31132000</v>
      </c>
      <c r="D24" s="2" t="s">
        <v>220</v>
      </c>
      <c r="E24" t="s">
        <v>170</v>
      </c>
      <c r="F24" t="s">
        <v>161</v>
      </c>
      <c r="G24" t="s">
        <v>161</v>
      </c>
      <c r="H24" t="s">
        <v>197</v>
      </c>
      <c r="I24" t="str">
        <f t="shared" si="7"/>
        <v>No</v>
      </c>
    </row>
    <row r="25" spans="1:9">
      <c r="A25" s="2">
        <v>312119</v>
      </c>
      <c r="B25" t="str">
        <f t="shared" si="3"/>
        <v>31211900</v>
      </c>
      <c r="C25" t="str">
        <f t="shared" si="4"/>
        <v>n31211900</v>
      </c>
      <c r="D25" s="2" t="s">
        <v>221</v>
      </c>
      <c r="E25" t="s">
        <v>170</v>
      </c>
      <c r="F25" t="s">
        <v>161</v>
      </c>
      <c r="G25" t="s">
        <v>161</v>
      </c>
      <c r="H25" t="s">
        <v>198</v>
      </c>
      <c r="I25" t="str">
        <f t="shared" si="2"/>
        <v>Yes</v>
      </c>
    </row>
    <row r="26" spans="1:9">
      <c r="A26" s="2">
        <v>312112</v>
      </c>
      <c r="B26" t="str">
        <f t="shared" si="3"/>
        <v>31211200</v>
      </c>
      <c r="C26" t="str">
        <f t="shared" si="4"/>
        <v>n31211200</v>
      </c>
      <c r="D26" s="2" t="s">
        <v>222</v>
      </c>
      <c r="E26" t="s">
        <v>170</v>
      </c>
      <c r="F26" t="s">
        <v>161</v>
      </c>
      <c r="G26" t="s">
        <v>161</v>
      </c>
      <c r="H26" t="s">
        <v>198</v>
      </c>
      <c r="I26" t="str">
        <f t="shared" si="2"/>
        <v>No</v>
      </c>
    </row>
    <row r="27" spans="1:9">
      <c r="A27" s="2">
        <v>312129</v>
      </c>
      <c r="B27" t="str">
        <f t="shared" si="3"/>
        <v>31212900</v>
      </c>
      <c r="C27" t="str">
        <f t="shared" si="4"/>
        <v>n31212900</v>
      </c>
      <c r="D27" s="2" t="s">
        <v>223</v>
      </c>
      <c r="E27" t="s">
        <v>170</v>
      </c>
      <c r="F27" t="s">
        <v>161</v>
      </c>
      <c r="G27" t="s">
        <v>161</v>
      </c>
      <c r="H27" t="s">
        <v>198</v>
      </c>
      <c r="I27" t="str">
        <f t="shared" si="2"/>
        <v>Yes</v>
      </c>
    </row>
    <row r="28" spans="1:9">
      <c r="A28" s="2">
        <v>312122</v>
      </c>
      <c r="B28" t="str">
        <f t="shared" si="3"/>
        <v>31212200</v>
      </c>
      <c r="C28" t="str">
        <f t="shared" si="4"/>
        <v>n31212200</v>
      </c>
      <c r="D28" s="2" t="s">
        <v>224</v>
      </c>
      <c r="E28" t="s">
        <v>170</v>
      </c>
      <c r="F28" t="s">
        <v>161</v>
      </c>
      <c r="G28" t="s">
        <v>161</v>
      </c>
      <c r="H28" t="s">
        <v>198</v>
      </c>
      <c r="I28" t="str">
        <f t="shared" si="2"/>
        <v>No</v>
      </c>
    </row>
    <row r="29" spans="1:9">
      <c r="A29" s="2">
        <v>312219</v>
      </c>
      <c r="B29" t="str">
        <f t="shared" si="3"/>
        <v>31221900</v>
      </c>
      <c r="C29" t="str">
        <f t="shared" si="4"/>
        <v>n31221900</v>
      </c>
      <c r="D29" s="2" t="s">
        <v>225</v>
      </c>
      <c r="E29" t="s">
        <v>170</v>
      </c>
      <c r="F29" t="s">
        <v>161</v>
      </c>
      <c r="G29" t="s">
        <v>161</v>
      </c>
      <c r="H29" t="s">
        <v>198</v>
      </c>
      <c r="I29" t="str">
        <f t="shared" si="2"/>
        <v>Yes</v>
      </c>
    </row>
    <row r="30" spans="1:9">
      <c r="A30" s="2">
        <v>312212</v>
      </c>
      <c r="B30" t="str">
        <f t="shared" si="3"/>
        <v>31221200</v>
      </c>
      <c r="C30" t="str">
        <f t="shared" si="4"/>
        <v>n31221200</v>
      </c>
      <c r="D30" s="2" t="s">
        <v>226</v>
      </c>
      <c r="E30" t="s">
        <v>170</v>
      </c>
      <c r="F30" t="s">
        <v>161</v>
      </c>
      <c r="G30" t="s">
        <v>161</v>
      </c>
      <c r="H30" t="s">
        <v>198</v>
      </c>
      <c r="I30" t="str">
        <f t="shared" si="2"/>
        <v>No</v>
      </c>
    </row>
    <row r="31" spans="1:9">
      <c r="A31" s="2">
        <v>312229</v>
      </c>
      <c r="B31" t="str">
        <f t="shared" si="3"/>
        <v>31222900</v>
      </c>
      <c r="C31" t="str">
        <f t="shared" si="4"/>
        <v>n31222900</v>
      </c>
      <c r="D31" s="2" t="s">
        <v>227</v>
      </c>
      <c r="E31" t="s">
        <v>170</v>
      </c>
      <c r="F31" t="s">
        <v>161</v>
      </c>
      <c r="G31" t="s">
        <v>161</v>
      </c>
      <c r="H31" t="s">
        <v>198</v>
      </c>
      <c r="I31" t="str">
        <f t="shared" si="2"/>
        <v>Yes</v>
      </c>
    </row>
    <row r="32" spans="1:9">
      <c r="A32" s="2">
        <v>312222</v>
      </c>
      <c r="B32" t="str">
        <f t="shared" si="3"/>
        <v>31222200</v>
      </c>
      <c r="C32" t="str">
        <f t="shared" si="4"/>
        <v>n31222200</v>
      </c>
      <c r="D32" s="2" t="s">
        <v>228</v>
      </c>
      <c r="E32" t="s">
        <v>170</v>
      </c>
      <c r="F32" t="s">
        <v>161</v>
      </c>
      <c r="G32" t="s">
        <v>161</v>
      </c>
      <c r="H32" t="s">
        <v>198</v>
      </c>
      <c r="I32" t="str">
        <f t="shared" si="2"/>
        <v>No</v>
      </c>
    </row>
    <row r="33" spans="1:9">
      <c r="A33" s="2">
        <v>312319</v>
      </c>
      <c r="B33" t="str">
        <f t="shared" si="3"/>
        <v>31231900</v>
      </c>
      <c r="C33" t="str">
        <f t="shared" si="4"/>
        <v>n31231900</v>
      </c>
      <c r="D33" s="2" t="s">
        <v>229</v>
      </c>
      <c r="E33" t="s">
        <v>170</v>
      </c>
      <c r="F33" t="s">
        <v>161</v>
      </c>
      <c r="G33" t="s">
        <v>161</v>
      </c>
      <c r="H33" t="s">
        <v>198</v>
      </c>
      <c r="I33" t="str">
        <f t="shared" si="2"/>
        <v>Yes</v>
      </c>
    </row>
    <row r="34" spans="1:9">
      <c r="A34" s="2">
        <v>312312</v>
      </c>
      <c r="B34" t="str">
        <f t="shared" si="3"/>
        <v>31231200</v>
      </c>
      <c r="C34" t="str">
        <f t="shared" si="4"/>
        <v>n31231200</v>
      </c>
      <c r="D34" s="2" t="s">
        <v>230</v>
      </c>
      <c r="E34" t="s">
        <v>170</v>
      </c>
      <c r="F34" t="s">
        <v>161</v>
      </c>
      <c r="G34" t="s">
        <v>161</v>
      </c>
      <c r="H34" t="s">
        <v>198</v>
      </c>
      <c r="I34" t="str">
        <f t="shared" si="2"/>
        <v>No</v>
      </c>
    </row>
    <row r="35" spans="1:9">
      <c r="A35" s="2">
        <v>312329</v>
      </c>
      <c r="B35" t="str">
        <f t="shared" si="3"/>
        <v>31232900</v>
      </c>
      <c r="C35" t="str">
        <f t="shared" si="4"/>
        <v>n31232900</v>
      </c>
      <c r="D35" s="2" t="s">
        <v>231</v>
      </c>
      <c r="E35" t="s">
        <v>170</v>
      </c>
      <c r="F35" t="s">
        <v>161</v>
      </c>
      <c r="G35" t="s">
        <v>161</v>
      </c>
      <c r="H35" t="s">
        <v>198</v>
      </c>
      <c r="I35" t="str">
        <f t="shared" si="2"/>
        <v>Yes</v>
      </c>
    </row>
    <row r="36" spans="1:9">
      <c r="A36" s="2">
        <v>312322</v>
      </c>
      <c r="B36" t="str">
        <f t="shared" si="3"/>
        <v>31232200</v>
      </c>
      <c r="C36" t="str">
        <f t="shared" si="4"/>
        <v>n31232200</v>
      </c>
      <c r="D36" s="2" t="s">
        <v>232</v>
      </c>
      <c r="E36" t="s">
        <v>170</v>
      </c>
      <c r="F36" t="s">
        <v>161</v>
      </c>
      <c r="G36" t="s">
        <v>161</v>
      </c>
      <c r="H36" t="s">
        <v>198</v>
      </c>
      <c r="I36" t="str">
        <f t="shared" si="2"/>
        <v>No</v>
      </c>
    </row>
    <row r="37" spans="1:9">
      <c r="A37" s="2">
        <v>312412</v>
      </c>
      <c r="B37" t="str">
        <f t="shared" si="3"/>
        <v>31241200</v>
      </c>
      <c r="C37" t="str">
        <f t="shared" si="4"/>
        <v>n31241200</v>
      </c>
      <c r="D37" s="2" t="s">
        <v>97</v>
      </c>
      <c r="E37" t="s">
        <v>170</v>
      </c>
      <c r="F37" t="s">
        <v>161</v>
      </c>
      <c r="G37" t="s">
        <v>161</v>
      </c>
      <c r="H37" t="s">
        <v>198</v>
      </c>
      <c r="I37" t="str">
        <f t="shared" si="2"/>
        <v>No</v>
      </c>
    </row>
    <row r="38" spans="1:9">
      <c r="A38" s="2">
        <v>312422</v>
      </c>
      <c r="B38" t="str">
        <f t="shared" si="3"/>
        <v>31242200</v>
      </c>
      <c r="C38" t="str">
        <f t="shared" si="4"/>
        <v>n31242200</v>
      </c>
      <c r="D38" s="2" t="s">
        <v>98</v>
      </c>
      <c r="E38" t="s">
        <v>170</v>
      </c>
      <c r="F38" t="s">
        <v>161</v>
      </c>
      <c r="G38" t="s">
        <v>161</v>
      </c>
      <c r="H38" t="s">
        <v>198</v>
      </c>
      <c r="I38" t="str">
        <f t="shared" si="2"/>
        <v>No</v>
      </c>
    </row>
    <row r="39" spans="1:9">
      <c r="A39" s="2">
        <v>32119</v>
      </c>
      <c r="B39" t="str">
        <f t="shared" si="3"/>
        <v>32119000</v>
      </c>
      <c r="C39" t="str">
        <f t="shared" si="4"/>
        <v>n32119000</v>
      </c>
      <c r="D39" s="2" t="s">
        <v>233</v>
      </c>
      <c r="E39" t="s">
        <v>170</v>
      </c>
      <c r="F39" t="s">
        <v>161</v>
      </c>
      <c r="G39" t="s">
        <v>161</v>
      </c>
      <c r="H39" t="s">
        <v>199</v>
      </c>
      <c r="I39" t="str">
        <f t="shared" si="2"/>
        <v>Yes</v>
      </c>
    </row>
    <row r="40" spans="1:9">
      <c r="A40" s="2">
        <v>32112</v>
      </c>
      <c r="B40" t="str">
        <f t="shared" si="3"/>
        <v>32112000</v>
      </c>
      <c r="C40" t="str">
        <f t="shared" si="4"/>
        <v>n32112000</v>
      </c>
      <c r="D40" s="2" t="s">
        <v>234</v>
      </c>
      <c r="E40" t="s">
        <v>170</v>
      </c>
      <c r="F40" t="s">
        <v>161</v>
      </c>
      <c r="G40" t="s">
        <v>161</v>
      </c>
      <c r="H40" t="s">
        <v>199</v>
      </c>
      <c r="I40" t="str">
        <f t="shared" si="2"/>
        <v>No</v>
      </c>
    </row>
    <row r="41" spans="1:9">
      <c r="A41" s="2">
        <v>321219</v>
      </c>
      <c r="B41" t="str">
        <f t="shared" si="3"/>
        <v>32121900</v>
      </c>
      <c r="C41" t="str">
        <f t="shared" si="4"/>
        <v>n32121900</v>
      </c>
      <c r="D41" s="2" t="s">
        <v>235</v>
      </c>
      <c r="E41" t="s">
        <v>170</v>
      </c>
      <c r="F41" t="s">
        <v>161</v>
      </c>
      <c r="G41" t="s">
        <v>161</v>
      </c>
      <c r="H41" t="s">
        <v>199</v>
      </c>
      <c r="I41" t="str">
        <f t="shared" si="2"/>
        <v>Yes</v>
      </c>
    </row>
    <row r="42" spans="1:9">
      <c r="A42" s="2">
        <v>321212</v>
      </c>
      <c r="B42" t="str">
        <f t="shared" si="3"/>
        <v>32121200</v>
      </c>
      <c r="C42" t="str">
        <f t="shared" si="4"/>
        <v>n32121200</v>
      </c>
      <c r="D42" s="2" t="s">
        <v>236</v>
      </c>
      <c r="E42" t="s">
        <v>170</v>
      </c>
      <c r="F42" t="s">
        <v>161</v>
      </c>
      <c r="G42" t="s">
        <v>161</v>
      </c>
      <c r="H42" t="s">
        <v>199</v>
      </c>
      <c r="I42" t="str">
        <f t="shared" si="2"/>
        <v>No</v>
      </c>
    </row>
    <row r="43" spans="1:9">
      <c r="A43" s="2">
        <v>321229</v>
      </c>
      <c r="B43" t="str">
        <f t="shared" si="3"/>
        <v>32122900</v>
      </c>
      <c r="C43" t="str">
        <f t="shared" si="4"/>
        <v>n32122900</v>
      </c>
      <c r="D43" s="2" t="s">
        <v>237</v>
      </c>
      <c r="E43" t="s">
        <v>170</v>
      </c>
      <c r="F43" t="s">
        <v>161</v>
      </c>
      <c r="G43" t="s">
        <v>161</v>
      </c>
      <c r="H43" t="s">
        <v>199</v>
      </c>
      <c r="I43" t="str">
        <f t="shared" si="2"/>
        <v>Yes</v>
      </c>
    </row>
    <row r="44" spans="1:9">
      <c r="A44" s="2">
        <v>321222</v>
      </c>
      <c r="B44" t="str">
        <f t="shared" si="3"/>
        <v>32122200</v>
      </c>
      <c r="C44" t="str">
        <f t="shared" si="4"/>
        <v>n32122200</v>
      </c>
      <c r="D44" s="2" t="s">
        <v>238</v>
      </c>
      <c r="E44" t="s">
        <v>170</v>
      </c>
      <c r="F44" t="s">
        <v>161</v>
      </c>
      <c r="G44" t="s">
        <v>161</v>
      </c>
      <c r="H44" t="s">
        <v>199</v>
      </c>
      <c r="I44" t="str">
        <f t="shared" si="2"/>
        <v>No</v>
      </c>
    </row>
    <row r="45" spans="1:9">
      <c r="A45" s="2">
        <v>32139</v>
      </c>
      <c r="B45" t="str">
        <f t="shared" si="3"/>
        <v>32139000</v>
      </c>
      <c r="C45" t="str">
        <f t="shared" si="4"/>
        <v>n32139000</v>
      </c>
      <c r="D45" s="2" t="s">
        <v>239</v>
      </c>
      <c r="E45" t="s">
        <v>170</v>
      </c>
      <c r="F45" t="s">
        <v>161</v>
      </c>
      <c r="G45" t="s">
        <v>161</v>
      </c>
      <c r="H45" t="s">
        <v>199</v>
      </c>
      <c r="I45" t="str">
        <f t="shared" si="2"/>
        <v>Yes</v>
      </c>
    </row>
    <row r="46" spans="1:9">
      <c r="A46" s="2">
        <v>32132</v>
      </c>
      <c r="B46" t="str">
        <f t="shared" si="3"/>
        <v>32132000</v>
      </c>
      <c r="C46" t="str">
        <f t="shared" si="4"/>
        <v>n32132000</v>
      </c>
      <c r="D46" s="2" t="s">
        <v>240</v>
      </c>
      <c r="E46" t="s">
        <v>170</v>
      </c>
      <c r="F46" t="s">
        <v>161</v>
      </c>
      <c r="G46" t="s">
        <v>161</v>
      </c>
      <c r="H46" t="s">
        <v>199</v>
      </c>
      <c r="I46" t="str">
        <f t="shared" si="2"/>
        <v>No</v>
      </c>
    </row>
    <row r="47" spans="1:9">
      <c r="A47" s="2">
        <v>32142</v>
      </c>
      <c r="B47" t="str">
        <f t="shared" si="3"/>
        <v>32142000</v>
      </c>
      <c r="C47" t="str">
        <f t="shared" si="4"/>
        <v>n32142000</v>
      </c>
      <c r="D47" s="2" t="s">
        <v>272</v>
      </c>
      <c r="E47" t="s">
        <v>170</v>
      </c>
      <c r="F47" t="s">
        <v>161</v>
      </c>
      <c r="G47" t="s">
        <v>161</v>
      </c>
      <c r="H47" t="s">
        <v>199</v>
      </c>
      <c r="I47" t="str">
        <f t="shared" si="2"/>
        <v>No</v>
      </c>
    </row>
    <row r="48" spans="1:9">
      <c r="A48" s="2">
        <v>32219</v>
      </c>
      <c r="B48" t="str">
        <f t="shared" si="3"/>
        <v>32219000</v>
      </c>
      <c r="C48" t="str">
        <f t="shared" si="4"/>
        <v>n32219000</v>
      </c>
      <c r="D48" s="2" t="s">
        <v>241</v>
      </c>
      <c r="E48" t="s">
        <v>170</v>
      </c>
      <c r="F48" t="s">
        <v>161</v>
      </c>
      <c r="G48" t="s">
        <v>161</v>
      </c>
      <c r="H48" t="s">
        <v>200</v>
      </c>
      <c r="I48" t="str">
        <f t="shared" si="2"/>
        <v>Yes</v>
      </c>
    </row>
    <row r="49" spans="1:9">
      <c r="A49" s="2">
        <v>32212</v>
      </c>
      <c r="B49" t="str">
        <f t="shared" si="3"/>
        <v>32212000</v>
      </c>
      <c r="C49" t="str">
        <f t="shared" si="4"/>
        <v>n32212000</v>
      </c>
      <c r="D49" s="2" t="s">
        <v>242</v>
      </c>
      <c r="E49" t="s">
        <v>170</v>
      </c>
      <c r="F49" t="s">
        <v>161</v>
      </c>
      <c r="G49" t="s">
        <v>161</v>
      </c>
      <c r="H49" t="s">
        <v>200</v>
      </c>
      <c r="I49" t="str">
        <f t="shared" si="2"/>
        <v>No</v>
      </c>
    </row>
    <row r="50" spans="1:9">
      <c r="A50" s="2">
        <v>32229</v>
      </c>
      <c r="B50" t="str">
        <f t="shared" si="3"/>
        <v>32229000</v>
      </c>
      <c r="C50" t="str">
        <f t="shared" si="4"/>
        <v>n32229000</v>
      </c>
      <c r="D50" s="2" t="s">
        <v>243</v>
      </c>
      <c r="E50" t="s">
        <v>170</v>
      </c>
      <c r="F50" t="s">
        <v>161</v>
      </c>
      <c r="G50" t="s">
        <v>161</v>
      </c>
      <c r="H50" t="s">
        <v>200</v>
      </c>
      <c r="I50" t="str">
        <f t="shared" si="2"/>
        <v>Yes</v>
      </c>
    </row>
    <row r="51" spans="1:9">
      <c r="A51" s="2">
        <v>32222</v>
      </c>
      <c r="B51" t="str">
        <f t="shared" si="3"/>
        <v>32222000</v>
      </c>
      <c r="C51" t="str">
        <f t="shared" si="4"/>
        <v>n32222000</v>
      </c>
      <c r="D51" s="2" t="s">
        <v>244</v>
      </c>
      <c r="E51" t="s">
        <v>170</v>
      </c>
      <c r="F51" t="s">
        <v>161</v>
      </c>
      <c r="G51" t="s">
        <v>161</v>
      </c>
      <c r="H51" t="s">
        <v>200</v>
      </c>
      <c r="I51" t="str">
        <f t="shared" si="2"/>
        <v>No</v>
      </c>
    </row>
    <row r="52" spans="1:9">
      <c r="A52" s="2">
        <v>32239</v>
      </c>
      <c r="B52" t="str">
        <f t="shared" si="3"/>
        <v>32239000</v>
      </c>
      <c r="C52" t="str">
        <f t="shared" si="4"/>
        <v>n32239000</v>
      </c>
      <c r="D52" s="2" t="s">
        <v>245</v>
      </c>
      <c r="E52" t="s">
        <v>170</v>
      </c>
      <c r="F52" t="s">
        <v>161</v>
      </c>
      <c r="G52" t="s">
        <v>161</v>
      </c>
      <c r="H52" t="s">
        <v>200</v>
      </c>
      <c r="I52" t="str">
        <f t="shared" si="2"/>
        <v>Yes</v>
      </c>
    </row>
    <row r="53" spans="1:9">
      <c r="A53" s="2">
        <v>32232</v>
      </c>
      <c r="B53" t="str">
        <f t="shared" si="3"/>
        <v>32232000</v>
      </c>
      <c r="C53" t="str">
        <f t="shared" si="4"/>
        <v>n32232000</v>
      </c>
      <c r="D53" s="2" t="s">
        <v>246</v>
      </c>
      <c r="E53" t="s">
        <v>170</v>
      </c>
      <c r="F53" t="s">
        <v>161</v>
      </c>
      <c r="G53" t="s">
        <v>161</v>
      </c>
      <c r="H53" t="s">
        <v>200</v>
      </c>
      <c r="I53" t="str">
        <f t="shared" si="2"/>
        <v>No</v>
      </c>
    </row>
    <row r="54" spans="1:9" s="4" customFormat="1">
      <c r="A54" s="3">
        <v>32242</v>
      </c>
      <c r="B54" s="4" t="str">
        <f t="shared" si="3"/>
        <v>32242000</v>
      </c>
      <c r="C54" s="4" t="str">
        <f t="shared" si="4"/>
        <v>n32242000</v>
      </c>
      <c r="D54" s="3" t="s">
        <v>247</v>
      </c>
      <c r="E54" s="4" t="s">
        <v>170</v>
      </c>
      <c r="F54" s="4" t="s">
        <v>161</v>
      </c>
      <c r="G54" s="4" t="s">
        <v>161</v>
      </c>
      <c r="H54" s="4" t="s">
        <v>200</v>
      </c>
      <c r="I54" s="4" t="str">
        <f t="shared" si="2"/>
        <v>No</v>
      </c>
    </row>
    <row r="55" spans="1:9">
      <c r="A55" s="2">
        <v>419</v>
      </c>
      <c r="B55" t="str">
        <f t="shared" si="3"/>
        <v>41900000</v>
      </c>
      <c r="C55" t="str">
        <f t="shared" si="4"/>
        <v>n41900000</v>
      </c>
      <c r="D55" s="2" t="s">
        <v>115</v>
      </c>
      <c r="E55" t="s">
        <v>170</v>
      </c>
      <c r="F55" t="s">
        <v>161</v>
      </c>
      <c r="G55" t="s">
        <v>161</v>
      </c>
      <c r="H55" t="s">
        <v>199</v>
      </c>
      <c r="I55" t="str">
        <f t="shared" si="2"/>
        <v>Yes</v>
      </c>
    </row>
    <row r="56" spans="1:9">
      <c r="A56" s="2">
        <v>412</v>
      </c>
      <c r="B56" t="str">
        <f t="shared" si="3"/>
        <v>41200000</v>
      </c>
      <c r="C56" t="str">
        <f t="shared" si="4"/>
        <v>n41200000</v>
      </c>
      <c r="D56" s="2" t="s">
        <v>116</v>
      </c>
      <c r="E56" t="s">
        <v>170</v>
      </c>
      <c r="F56" t="s">
        <v>161</v>
      </c>
      <c r="G56" t="s">
        <v>161</v>
      </c>
      <c r="H56" t="s">
        <v>199</v>
      </c>
      <c r="I56" t="str">
        <f t="shared" si="2"/>
        <v>No</v>
      </c>
    </row>
    <row r="57" spans="1:9">
      <c r="A57" s="2">
        <v>421119</v>
      </c>
      <c r="B57" t="str">
        <f>A57&amp;REPT("0",8-LEN(A57))</f>
        <v>42111900</v>
      </c>
      <c r="C57" t="str">
        <f t="shared" si="4"/>
        <v>n42111900</v>
      </c>
      <c r="D57" s="2" t="s">
        <v>248</v>
      </c>
      <c r="E57" t="s">
        <v>170</v>
      </c>
      <c r="F57" t="s">
        <v>203</v>
      </c>
      <c r="G57" t="s">
        <v>205</v>
      </c>
      <c r="H57" t="s">
        <v>197</v>
      </c>
      <c r="I57" t="str">
        <f t="shared" si="2"/>
        <v>Yes</v>
      </c>
    </row>
    <row r="58" spans="1:9">
      <c r="A58" s="2">
        <v>421112</v>
      </c>
      <c r="B58" t="str">
        <f t="shared" si="3"/>
        <v>42111200</v>
      </c>
      <c r="C58" t="str">
        <f t="shared" si="4"/>
        <v>n42111200</v>
      </c>
      <c r="D58" s="2" t="s">
        <v>269</v>
      </c>
      <c r="E58" t="s">
        <v>170</v>
      </c>
      <c r="F58" t="s">
        <v>203</v>
      </c>
      <c r="G58" t="s">
        <v>205</v>
      </c>
      <c r="H58" t="s">
        <v>197</v>
      </c>
      <c r="I58" t="str">
        <f t="shared" si="2"/>
        <v>No</v>
      </c>
    </row>
    <row r="59" spans="1:9">
      <c r="A59" s="2">
        <v>421129</v>
      </c>
      <c r="B59" t="str">
        <f t="shared" si="3"/>
        <v>42112900</v>
      </c>
      <c r="C59" t="str">
        <f t="shared" si="4"/>
        <v>n42112900</v>
      </c>
      <c r="D59" s="2" t="s">
        <v>249</v>
      </c>
      <c r="E59" t="s">
        <v>170</v>
      </c>
      <c r="F59" t="s">
        <v>203</v>
      </c>
      <c r="G59" t="s">
        <v>205</v>
      </c>
      <c r="H59" t="s">
        <v>198</v>
      </c>
      <c r="I59" t="str">
        <f t="shared" si="2"/>
        <v>Yes</v>
      </c>
    </row>
    <row r="60" spans="1:9">
      <c r="A60" s="2">
        <v>421122</v>
      </c>
      <c r="B60" t="str">
        <f t="shared" si="3"/>
        <v>42112200</v>
      </c>
      <c r="C60" t="str">
        <f t="shared" si="4"/>
        <v>n42112200</v>
      </c>
      <c r="D60" s="2" t="s">
        <v>250</v>
      </c>
      <c r="E60" t="s">
        <v>170</v>
      </c>
      <c r="F60" t="s">
        <v>203</v>
      </c>
      <c r="G60" t="s">
        <v>205</v>
      </c>
      <c r="H60" t="s">
        <v>198</v>
      </c>
      <c r="I60" t="str">
        <f t="shared" si="2"/>
        <v>No</v>
      </c>
    </row>
    <row r="61" spans="1:9">
      <c r="A61" s="2">
        <v>4212119</v>
      </c>
      <c r="B61" t="str">
        <f t="shared" ref="B61:B66" si="8">A61&amp;REPT("0",8-LEN(A61))</f>
        <v>42121190</v>
      </c>
      <c r="C61" t="str">
        <f t="shared" ref="C61:C66" si="9">_xlfn.CONCAT("n",B61)</f>
        <v>n42121190</v>
      </c>
      <c r="D61" s="2" t="s">
        <v>251</v>
      </c>
      <c r="E61" t="s">
        <v>170</v>
      </c>
      <c r="F61" t="s">
        <v>203</v>
      </c>
      <c r="G61" t="s">
        <v>205</v>
      </c>
      <c r="H61" t="s">
        <v>199</v>
      </c>
      <c r="I61" t="str">
        <f t="shared" ref="I61:I66" si="10">IF(ISNUMBER(SEARCH("9", B61)), "Yes", "No")</f>
        <v>Yes</v>
      </c>
    </row>
    <row r="62" spans="1:9">
      <c r="A62" s="2">
        <v>4212112</v>
      </c>
      <c r="B62" t="str">
        <f t="shared" si="8"/>
        <v>42121120</v>
      </c>
      <c r="C62" t="str">
        <f t="shared" si="9"/>
        <v>n42121120</v>
      </c>
      <c r="D62" s="2" t="s">
        <v>252</v>
      </c>
      <c r="E62" t="s">
        <v>170</v>
      </c>
      <c r="F62" t="s">
        <v>203</v>
      </c>
      <c r="G62" t="s">
        <v>205</v>
      </c>
      <c r="H62" t="s">
        <v>199</v>
      </c>
      <c r="I62" t="str">
        <f t="shared" si="10"/>
        <v>No</v>
      </c>
    </row>
    <row r="63" spans="1:9">
      <c r="A63" s="2">
        <v>4212129</v>
      </c>
      <c r="B63" t="str">
        <f t="shared" si="8"/>
        <v>42121290</v>
      </c>
      <c r="C63" t="str">
        <f t="shared" si="9"/>
        <v>n42121290</v>
      </c>
      <c r="D63" s="2" t="s">
        <v>253</v>
      </c>
      <c r="E63" t="s">
        <v>170</v>
      </c>
      <c r="F63" t="s">
        <v>203</v>
      </c>
      <c r="G63" t="s">
        <v>205</v>
      </c>
      <c r="H63" t="s">
        <v>199</v>
      </c>
      <c r="I63" t="str">
        <f t="shared" si="10"/>
        <v>Yes</v>
      </c>
    </row>
    <row r="64" spans="1:9">
      <c r="A64" s="2">
        <v>4212122</v>
      </c>
      <c r="B64" t="str">
        <f t="shared" si="8"/>
        <v>42121220</v>
      </c>
      <c r="C64" t="str">
        <f t="shared" si="9"/>
        <v>n42121220</v>
      </c>
      <c r="D64" s="2" t="s">
        <v>254</v>
      </c>
      <c r="E64" t="s">
        <v>170</v>
      </c>
      <c r="F64" t="s">
        <v>203</v>
      </c>
      <c r="G64" t="s">
        <v>205</v>
      </c>
      <c r="H64" t="s">
        <v>199</v>
      </c>
      <c r="I64" t="str">
        <f t="shared" si="10"/>
        <v>No</v>
      </c>
    </row>
    <row r="65" spans="1:9">
      <c r="A65" s="2">
        <v>421229</v>
      </c>
      <c r="B65" t="str">
        <f t="shared" si="8"/>
        <v>42122900</v>
      </c>
      <c r="C65" t="str">
        <f t="shared" si="9"/>
        <v>n42122900</v>
      </c>
      <c r="D65" s="2" t="s">
        <v>255</v>
      </c>
      <c r="E65" t="s">
        <v>170</v>
      </c>
      <c r="F65" t="s">
        <v>203</v>
      </c>
      <c r="G65" t="s">
        <v>205</v>
      </c>
      <c r="H65" t="s">
        <v>200</v>
      </c>
      <c r="I65" t="str">
        <f t="shared" si="10"/>
        <v>Yes</v>
      </c>
    </row>
    <row r="66" spans="1:9">
      <c r="A66" s="2">
        <v>421222</v>
      </c>
      <c r="B66" t="str">
        <f t="shared" si="8"/>
        <v>42122200</v>
      </c>
      <c r="C66" t="str">
        <f t="shared" si="9"/>
        <v>n42122200</v>
      </c>
      <c r="D66" s="2" t="s">
        <v>270</v>
      </c>
      <c r="E66" t="s">
        <v>170</v>
      </c>
      <c r="F66" t="s">
        <v>203</v>
      </c>
      <c r="G66" t="s">
        <v>205</v>
      </c>
      <c r="H66" t="s">
        <v>200</v>
      </c>
      <c r="I66" t="str">
        <f t="shared" si="10"/>
        <v>No</v>
      </c>
    </row>
    <row r="67" spans="1:9">
      <c r="A67" s="2">
        <v>422119</v>
      </c>
      <c r="B67" t="str">
        <f t="shared" ref="B67:B96" si="11">A67&amp;REPT("0",8-LEN(A67))</f>
        <v>42211900</v>
      </c>
      <c r="C67" t="str">
        <f t="shared" ref="C67:C96" si="12">_xlfn.CONCAT("n",B67)</f>
        <v>n42211900</v>
      </c>
      <c r="D67" s="2" t="s">
        <v>133</v>
      </c>
      <c r="E67" t="s">
        <v>170</v>
      </c>
      <c r="F67" t="s">
        <v>202</v>
      </c>
      <c r="G67" t="s">
        <v>205</v>
      </c>
      <c r="H67" t="s">
        <v>197</v>
      </c>
      <c r="I67" t="str">
        <f t="shared" ref="I67:I96" si="13">IF(ISNUMBER(SEARCH("9", B67)), "Yes", "No")</f>
        <v>Yes</v>
      </c>
    </row>
    <row r="68" spans="1:9">
      <c r="A68" s="2">
        <v>422112</v>
      </c>
      <c r="B68" t="str">
        <f t="shared" si="11"/>
        <v>42211200</v>
      </c>
      <c r="C68" t="str">
        <f t="shared" si="12"/>
        <v>n42211200</v>
      </c>
      <c r="D68" s="2" t="s">
        <v>134</v>
      </c>
      <c r="E68" t="s">
        <v>170</v>
      </c>
      <c r="F68" t="s">
        <v>164</v>
      </c>
      <c r="G68" t="s">
        <v>205</v>
      </c>
      <c r="H68" t="s">
        <v>197</v>
      </c>
      <c r="I68" t="str">
        <f t="shared" si="13"/>
        <v>No</v>
      </c>
    </row>
    <row r="69" spans="1:9">
      <c r="A69" s="2">
        <v>422129</v>
      </c>
      <c r="B69" t="str">
        <f t="shared" si="11"/>
        <v>42212900</v>
      </c>
      <c r="C69" t="str">
        <f t="shared" si="12"/>
        <v>n42212900</v>
      </c>
      <c r="D69" s="2" t="s">
        <v>135</v>
      </c>
      <c r="E69" t="s">
        <v>170</v>
      </c>
      <c r="F69" t="s">
        <v>202</v>
      </c>
      <c r="G69" t="s">
        <v>205</v>
      </c>
      <c r="H69" t="s">
        <v>198</v>
      </c>
      <c r="I69" t="str">
        <f t="shared" si="13"/>
        <v>Yes</v>
      </c>
    </row>
    <row r="70" spans="1:9">
      <c r="A70" s="2">
        <v>422122</v>
      </c>
      <c r="B70" t="str">
        <f t="shared" si="11"/>
        <v>42212200</v>
      </c>
      <c r="C70" t="str">
        <f t="shared" si="12"/>
        <v>n42212200</v>
      </c>
      <c r="D70" s="2" t="s">
        <v>136</v>
      </c>
      <c r="E70" t="s">
        <v>170</v>
      </c>
      <c r="F70" t="s">
        <v>164</v>
      </c>
      <c r="G70" t="s">
        <v>205</v>
      </c>
      <c r="H70" t="s">
        <v>198</v>
      </c>
      <c r="I70" t="str">
        <f t="shared" si="13"/>
        <v>No</v>
      </c>
    </row>
    <row r="71" spans="1:9">
      <c r="A71" s="2">
        <v>4222119</v>
      </c>
      <c r="B71" t="str">
        <f t="shared" si="11"/>
        <v>42221190</v>
      </c>
      <c r="C71" t="str">
        <f t="shared" si="12"/>
        <v>n42221190</v>
      </c>
      <c r="D71" s="2" t="s">
        <v>137</v>
      </c>
      <c r="E71" t="s">
        <v>170</v>
      </c>
      <c r="F71" t="s">
        <v>202</v>
      </c>
      <c r="G71" t="s">
        <v>205</v>
      </c>
      <c r="H71" t="s">
        <v>199</v>
      </c>
      <c r="I71" t="str">
        <f t="shared" si="13"/>
        <v>Yes</v>
      </c>
    </row>
    <row r="72" spans="1:9">
      <c r="A72" s="2">
        <v>4222112</v>
      </c>
      <c r="B72" t="str">
        <f t="shared" si="11"/>
        <v>42221120</v>
      </c>
      <c r="C72" t="str">
        <f t="shared" si="12"/>
        <v>n42221120</v>
      </c>
      <c r="D72" s="2" t="s">
        <v>138</v>
      </c>
      <c r="E72" t="s">
        <v>170</v>
      </c>
      <c r="F72" t="s">
        <v>164</v>
      </c>
      <c r="G72" t="s">
        <v>205</v>
      </c>
      <c r="H72" t="s">
        <v>199</v>
      </c>
      <c r="I72" t="str">
        <f t="shared" si="13"/>
        <v>No</v>
      </c>
    </row>
    <row r="73" spans="1:9">
      <c r="A73" s="2">
        <v>42221219</v>
      </c>
      <c r="B73" t="str">
        <f t="shared" si="11"/>
        <v>42221219</v>
      </c>
      <c r="C73" t="str">
        <f t="shared" si="12"/>
        <v>n42221219</v>
      </c>
      <c r="D73" s="2" t="s">
        <v>256</v>
      </c>
      <c r="E73" t="s">
        <v>170</v>
      </c>
      <c r="F73" t="s">
        <v>202</v>
      </c>
      <c r="G73" t="s">
        <v>205</v>
      </c>
      <c r="H73" t="s">
        <v>199</v>
      </c>
      <c r="I73" t="str">
        <f t="shared" si="13"/>
        <v>Yes</v>
      </c>
    </row>
    <row r="74" spans="1:9">
      <c r="A74" s="2">
        <v>42221212</v>
      </c>
      <c r="B74" t="str">
        <f t="shared" si="11"/>
        <v>42221212</v>
      </c>
      <c r="C74" t="str">
        <f t="shared" si="12"/>
        <v>n42221212</v>
      </c>
      <c r="D74" s="2" t="s">
        <v>257</v>
      </c>
      <c r="E74" t="s">
        <v>170</v>
      </c>
      <c r="F74" t="s">
        <v>164</v>
      </c>
      <c r="G74" t="s">
        <v>205</v>
      </c>
      <c r="H74" t="s">
        <v>199</v>
      </c>
      <c r="I74" t="str">
        <f t="shared" si="13"/>
        <v>No</v>
      </c>
    </row>
    <row r="75" spans="1:9">
      <c r="A75" s="2">
        <v>42221229</v>
      </c>
      <c r="B75" t="str">
        <f t="shared" si="11"/>
        <v>42221229</v>
      </c>
      <c r="C75" t="str">
        <f t="shared" si="12"/>
        <v>n42221229</v>
      </c>
      <c r="D75" s="2" t="s">
        <v>258</v>
      </c>
      <c r="E75" t="s">
        <v>170</v>
      </c>
      <c r="F75" t="s">
        <v>202</v>
      </c>
      <c r="G75" t="s">
        <v>205</v>
      </c>
      <c r="H75" t="s">
        <v>199</v>
      </c>
      <c r="I75" t="str">
        <f t="shared" si="13"/>
        <v>Yes</v>
      </c>
    </row>
    <row r="76" spans="1:9">
      <c r="A76" s="2">
        <v>42221222</v>
      </c>
      <c r="B76" t="str">
        <f t="shared" si="11"/>
        <v>42221222</v>
      </c>
      <c r="C76" t="str">
        <f t="shared" si="12"/>
        <v>n42221222</v>
      </c>
      <c r="D76" s="2" t="s">
        <v>259</v>
      </c>
      <c r="E76" t="s">
        <v>170</v>
      </c>
      <c r="F76" t="s">
        <v>164</v>
      </c>
      <c r="G76" t="s">
        <v>205</v>
      </c>
      <c r="H76" t="s">
        <v>199</v>
      </c>
      <c r="I76" t="str">
        <f t="shared" si="13"/>
        <v>No</v>
      </c>
    </row>
    <row r="77" spans="1:9">
      <c r="A77" s="2">
        <v>422229</v>
      </c>
      <c r="B77" t="str">
        <f t="shared" si="11"/>
        <v>42222900</v>
      </c>
      <c r="C77" t="str">
        <f t="shared" si="12"/>
        <v>n42222900</v>
      </c>
      <c r="D77" s="2" t="s">
        <v>260</v>
      </c>
      <c r="E77" t="s">
        <v>170</v>
      </c>
      <c r="F77" t="s">
        <v>202</v>
      </c>
      <c r="G77" t="s">
        <v>205</v>
      </c>
      <c r="H77" t="s">
        <v>200</v>
      </c>
      <c r="I77" t="str">
        <f t="shared" si="13"/>
        <v>Yes</v>
      </c>
    </row>
    <row r="78" spans="1:9" s="4" customFormat="1">
      <c r="A78" s="3">
        <v>422222</v>
      </c>
      <c r="B78" s="4" t="str">
        <f t="shared" si="11"/>
        <v>42222200</v>
      </c>
      <c r="C78" s="4" t="str">
        <f t="shared" si="12"/>
        <v>n42222200</v>
      </c>
      <c r="D78" s="3" t="s">
        <v>261</v>
      </c>
      <c r="E78" s="4" t="s">
        <v>170</v>
      </c>
      <c r="F78" s="4" t="s">
        <v>164</v>
      </c>
      <c r="G78" s="4" t="s">
        <v>205</v>
      </c>
      <c r="H78" s="4" t="s">
        <v>200</v>
      </c>
      <c r="I78" s="4" t="str">
        <f t="shared" si="13"/>
        <v>No</v>
      </c>
    </row>
    <row r="79" spans="1:9">
      <c r="A79" s="2">
        <v>51</v>
      </c>
      <c r="B79" t="str">
        <f t="shared" si="11"/>
        <v>51000000</v>
      </c>
      <c r="C79" t="str">
        <f t="shared" si="12"/>
        <v>n51000000</v>
      </c>
      <c r="D79" s="2" t="s">
        <v>262</v>
      </c>
      <c r="E79" t="s">
        <v>171</v>
      </c>
      <c r="F79" t="s">
        <v>162</v>
      </c>
      <c r="G79" t="s">
        <v>206</v>
      </c>
      <c r="H79" t="s">
        <v>201</v>
      </c>
      <c r="I79" t="str">
        <f t="shared" si="13"/>
        <v>No</v>
      </c>
    </row>
    <row r="80" spans="1:9">
      <c r="A80" s="2">
        <v>5219</v>
      </c>
      <c r="B80" t="str">
        <f t="shared" si="11"/>
        <v>52190000</v>
      </c>
      <c r="C80" t="str">
        <f t="shared" si="12"/>
        <v>n52190000</v>
      </c>
      <c r="D80" s="2" t="s">
        <v>265</v>
      </c>
      <c r="E80" t="s">
        <v>171</v>
      </c>
      <c r="F80" t="s">
        <v>163</v>
      </c>
      <c r="G80" t="s">
        <v>206</v>
      </c>
      <c r="H80" t="s">
        <v>201</v>
      </c>
      <c r="I80" t="str">
        <f t="shared" si="13"/>
        <v>Yes</v>
      </c>
    </row>
    <row r="81" spans="1:9">
      <c r="A81" s="2">
        <v>5212</v>
      </c>
      <c r="B81" t="str">
        <f t="shared" si="11"/>
        <v>52120000</v>
      </c>
      <c r="C81" t="str">
        <f t="shared" si="12"/>
        <v>n52120000</v>
      </c>
      <c r="D81" s="2" t="s">
        <v>266</v>
      </c>
      <c r="E81" t="s">
        <v>171</v>
      </c>
      <c r="F81" t="s">
        <v>163</v>
      </c>
      <c r="G81" t="s">
        <v>206</v>
      </c>
      <c r="H81" t="s">
        <v>201</v>
      </c>
      <c r="I81" t="str">
        <f t="shared" si="13"/>
        <v>No</v>
      </c>
    </row>
    <row r="82" spans="1:9">
      <c r="A82" s="2">
        <v>5222</v>
      </c>
      <c r="B82" t="str">
        <f t="shared" si="11"/>
        <v>52220000</v>
      </c>
      <c r="C82" t="str">
        <f t="shared" si="12"/>
        <v>n52220000</v>
      </c>
      <c r="D82" s="2" t="s">
        <v>271</v>
      </c>
      <c r="E82" t="s">
        <v>171</v>
      </c>
      <c r="F82" t="s">
        <v>163</v>
      </c>
      <c r="G82" t="s">
        <v>206</v>
      </c>
      <c r="H82" t="s">
        <v>201</v>
      </c>
      <c r="I82" t="str">
        <f t="shared" si="13"/>
        <v>No</v>
      </c>
    </row>
    <row r="83" spans="1:9">
      <c r="A83" s="2">
        <v>5239</v>
      </c>
      <c r="B83" t="str">
        <f t="shared" si="11"/>
        <v>52390000</v>
      </c>
      <c r="C83" t="str">
        <f t="shared" si="12"/>
        <v>n52390000</v>
      </c>
      <c r="D83" s="2" t="s">
        <v>267</v>
      </c>
      <c r="E83" t="s">
        <v>171</v>
      </c>
      <c r="F83" t="s">
        <v>163</v>
      </c>
      <c r="G83" t="s">
        <v>206</v>
      </c>
      <c r="H83" t="s">
        <v>201</v>
      </c>
      <c r="I83" t="str">
        <f t="shared" si="13"/>
        <v>Yes</v>
      </c>
    </row>
    <row r="84" spans="1:9">
      <c r="A84" s="2">
        <v>5232</v>
      </c>
      <c r="B84" t="str">
        <f t="shared" si="11"/>
        <v>52320000</v>
      </c>
      <c r="C84" t="str">
        <f t="shared" si="12"/>
        <v>n52320000</v>
      </c>
      <c r="D84" s="2" t="s">
        <v>268</v>
      </c>
      <c r="E84" t="s">
        <v>171</v>
      </c>
      <c r="F84" t="s">
        <v>163</v>
      </c>
      <c r="G84" t="s">
        <v>206</v>
      </c>
      <c r="H84" t="s">
        <v>201</v>
      </c>
      <c r="I84" t="str">
        <f t="shared" si="13"/>
        <v>No</v>
      </c>
    </row>
    <row r="85" spans="1:9">
      <c r="A85" s="2">
        <v>539</v>
      </c>
      <c r="B85" t="str">
        <f t="shared" si="11"/>
        <v>53900000</v>
      </c>
      <c r="C85" t="str">
        <f t="shared" si="12"/>
        <v>n53900000</v>
      </c>
      <c r="D85" s="2" t="s">
        <v>263</v>
      </c>
      <c r="E85" t="s">
        <v>171</v>
      </c>
      <c r="F85" t="s">
        <v>166</v>
      </c>
      <c r="G85" t="s">
        <v>206</v>
      </c>
      <c r="H85" t="s">
        <v>201</v>
      </c>
      <c r="I85" t="str">
        <f t="shared" si="13"/>
        <v>Yes</v>
      </c>
    </row>
    <row r="86" spans="1:9" s="4" customFormat="1">
      <c r="A86" s="3">
        <v>532</v>
      </c>
      <c r="B86" s="4" t="str">
        <f t="shared" si="11"/>
        <v>53200000</v>
      </c>
      <c r="C86" s="4" t="str">
        <f t="shared" si="12"/>
        <v>n53200000</v>
      </c>
      <c r="D86" s="3" t="s">
        <v>264</v>
      </c>
      <c r="E86" s="4" t="s">
        <v>171</v>
      </c>
      <c r="F86" s="4" t="s">
        <v>166</v>
      </c>
      <c r="G86" s="4" t="s">
        <v>206</v>
      </c>
      <c r="H86" s="4" t="s">
        <v>201</v>
      </c>
      <c r="I86" s="4" t="str">
        <f t="shared" si="13"/>
        <v>No</v>
      </c>
    </row>
    <row r="87" spans="1:9">
      <c r="A87" s="2">
        <v>611</v>
      </c>
      <c r="B87" t="str">
        <f>A87&amp;REPT("0",8-LEN(A87))</f>
        <v>61100000</v>
      </c>
      <c r="C87" t="str">
        <f>_xlfn.CONCAT("n",B87)</f>
        <v>n61100000</v>
      </c>
      <c r="D87" s="2" t="s">
        <v>207</v>
      </c>
      <c r="E87" t="s">
        <v>172</v>
      </c>
      <c r="F87" t="s">
        <v>167</v>
      </c>
      <c r="G87" t="s">
        <v>206</v>
      </c>
      <c r="H87" t="s">
        <v>201</v>
      </c>
      <c r="I87" t="str">
        <f t="shared" si="13"/>
        <v>No</v>
      </c>
    </row>
    <row r="88" spans="1:9">
      <c r="A88" s="2">
        <v>612</v>
      </c>
      <c r="B88" t="str">
        <f>A88&amp;REPT("0",8-LEN(A88))</f>
        <v>61200000</v>
      </c>
      <c r="C88" t="str">
        <f>_xlfn.CONCAT("n",B88)</f>
        <v>n61200000</v>
      </c>
      <c r="D88" s="2" t="s">
        <v>208</v>
      </c>
      <c r="E88" t="s">
        <v>172</v>
      </c>
      <c r="F88" t="s">
        <v>167</v>
      </c>
      <c r="G88" t="s">
        <v>206</v>
      </c>
      <c r="H88" t="s">
        <v>201</v>
      </c>
      <c r="I88" t="str">
        <f t="shared" si="13"/>
        <v>No</v>
      </c>
    </row>
    <row r="89" spans="1:9">
      <c r="A89" s="2">
        <v>62112</v>
      </c>
      <c r="B89" t="str">
        <f t="shared" si="11"/>
        <v>62112000</v>
      </c>
      <c r="C89" t="str">
        <f t="shared" si="12"/>
        <v>n62112000</v>
      </c>
      <c r="D89" s="2" t="s">
        <v>210</v>
      </c>
      <c r="E89" t="s">
        <v>172</v>
      </c>
      <c r="F89" t="s">
        <v>168</v>
      </c>
      <c r="G89" t="s">
        <v>206</v>
      </c>
      <c r="H89" t="s">
        <v>201</v>
      </c>
      <c r="I89" t="str">
        <f t="shared" si="13"/>
        <v>No</v>
      </c>
    </row>
    <row r="90" spans="1:9">
      <c r="A90" s="2">
        <v>62129</v>
      </c>
      <c r="B90" t="str">
        <f t="shared" si="11"/>
        <v>62129000</v>
      </c>
      <c r="C90" t="str">
        <f t="shared" si="12"/>
        <v>n62129000</v>
      </c>
      <c r="D90" s="2" t="s">
        <v>211</v>
      </c>
      <c r="E90" t="s">
        <v>172</v>
      </c>
      <c r="F90" t="s">
        <v>168</v>
      </c>
      <c r="G90" t="s">
        <v>206</v>
      </c>
      <c r="H90" t="s">
        <v>201</v>
      </c>
      <c r="I90" t="str">
        <f t="shared" si="13"/>
        <v>Yes</v>
      </c>
    </row>
    <row r="91" spans="1:9">
      <c r="A91" s="2">
        <v>62122</v>
      </c>
      <c r="B91" t="str">
        <f t="shared" si="11"/>
        <v>62122000</v>
      </c>
      <c r="C91" t="str">
        <f t="shared" si="12"/>
        <v>n62122000</v>
      </c>
      <c r="D91" s="2" t="s">
        <v>212</v>
      </c>
      <c r="E91" t="s">
        <v>172</v>
      </c>
      <c r="F91" t="s">
        <v>168</v>
      </c>
      <c r="G91" t="s">
        <v>206</v>
      </c>
      <c r="H91" t="s">
        <v>201</v>
      </c>
      <c r="I91" t="str">
        <f t="shared" si="13"/>
        <v>No</v>
      </c>
    </row>
    <row r="92" spans="1:9">
      <c r="A92" s="2">
        <v>622</v>
      </c>
      <c r="B92" t="str">
        <f t="shared" si="11"/>
        <v>62200000</v>
      </c>
      <c r="C92" t="str">
        <f t="shared" si="12"/>
        <v>n62200000</v>
      </c>
      <c r="D92" s="2" t="s">
        <v>213</v>
      </c>
      <c r="E92" t="s">
        <v>172</v>
      </c>
      <c r="F92" t="s">
        <v>168</v>
      </c>
      <c r="G92" t="s">
        <v>206</v>
      </c>
      <c r="H92" t="s">
        <v>201</v>
      </c>
      <c r="I92" t="str">
        <f t="shared" si="13"/>
        <v>No</v>
      </c>
    </row>
    <row r="93" spans="1:9">
      <c r="A93" s="2">
        <v>639</v>
      </c>
      <c r="B93" t="str">
        <f t="shared" si="11"/>
        <v>63900000</v>
      </c>
      <c r="C93" t="str">
        <f t="shared" si="12"/>
        <v>n63900000</v>
      </c>
      <c r="D93" s="2" t="s">
        <v>156</v>
      </c>
      <c r="E93" t="s">
        <v>172</v>
      </c>
      <c r="F93" t="s">
        <v>169</v>
      </c>
      <c r="G93" t="s">
        <v>206</v>
      </c>
      <c r="H93" t="s">
        <v>201</v>
      </c>
      <c r="I93" t="str">
        <f t="shared" si="13"/>
        <v>Yes</v>
      </c>
    </row>
    <row r="94" spans="1:9" s="4" customFormat="1">
      <c r="A94" s="3">
        <v>632</v>
      </c>
      <c r="B94" s="4" t="str">
        <f t="shared" si="11"/>
        <v>63200000</v>
      </c>
      <c r="C94" s="4" t="str">
        <f t="shared" si="12"/>
        <v>n63200000</v>
      </c>
      <c r="D94" s="3" t="s">
        <v>157</v>
      </c>
      <c r="E94" s="4" t="s">
        <v>172</v>
      </c>
      <c r="F94" s="4" t="s">
        <v>169</v>
      </c>
      <c r="G94" s="4" t="s">
        <v>206</v>
      </c>
      <c r="H94" s="4" t="s">
        <v>201</v>
      </c>
      <c r="I94" s="4" t="str">
        <f t="shared" si="13"/>
        <v>No</v>
      </c>
    </row>
    <row r="95" spans="1:9">
      <c r="A95" s="2">
        <v>7</v>
      </c>
      <c r="B95" t="str">
        <f t="shared" si="11"/>
        <v>70000000</v>
      </c>
      <c r="C95" t="str">
        <f t="shared" si="12"/>
        <v>n70000000</v>
      </c>
      <c r="D95" s="2" t="s">
        <v>214</v>
      </c>
      <c r="E95" t="s">
        <v>174</v>
      </c>
      <c r="F95" t="s">
        <v>174</v>
      </c>
      <c r="G95" t="s">
        <v>206</v>
      </c>
      <c r="H95" t="s">
        <v>201</v>
      </c>
      <c r="I95" t="str">
        <f t="shared" si="13"/>
        <v>No</v>
      </c>
    </row>
    <row r="96" spans="1:9">
      <c r="A96" s="2">
        <v>8</v>
      </c>
      <c r="B96" t="str">
        <f t="shared" si="11"/>
        <v>80000000</v>
      </c>
      <c r="C96" t="str">
        <f t="shared" si="12"/>
        <v>n80000000</v>
      </c>
      <c r="D96" s="2" t="s">
        <v>273</v>
      </c>
      <c r="E96" t="s">
        <v>174</v>
      </c>
      <c r="F96" t="s">
        <v>174</v>
      </c>
      <c r="G96" t="s">
        <v>206</v>
      </c>
      <c r="H96" t="s">
        <v>201</v>
      </c>
      <c r="I96" t="str">
        <f t="shared" si="13"/>
        <v>No</v>
      </c>
    </row>
  </sheetData>
  <autoFilter ref="A1:H95" xr:uid="{6A7BB84B-4BF3-4978-BFCA-0C4F8A30C44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v030_20250430</vt:lpstr>
      <vt:lpstr>v040_20250713</vt:lpstr>
      <vt:lpstr>v042_20250805</vt:lpstr>
      <vt:lpstr>v102_20251027</vt:lpstr>
      <vt:lpstr>v105_20260518</vt:lpstr>
      <vt:lpstr>v105_20260601</vt:lpstr>
      <vt:lpstr>v106_20261006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Gibbs</dc:creator>
  <cp:lastModifiedBy>David Gibbs</cp:lastModifiedBy>
  <dcterms:created xsi:type="dcterms:W3CDTF">2015-06-05T18:17:20Z</dcterms:created>
  <dcterms:modified xsi:type="dcterms:W3CDTF">2026-10-06T17:46:10Z</dcterms:modified>
</cp:coreProperties>
</file>