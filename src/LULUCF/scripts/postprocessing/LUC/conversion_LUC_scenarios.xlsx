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S\git\AFOLU_GHG_flux_model\src\LULUCF\scripts\postprocessing\LUC\"/>
    </mc:Choice>
  </mc:AlternateContent>
  <xr:revisionPtr revIDLastSave="0" documentId="13_ncr:1_{E919447E-84A2-4A8B-A3D9-F1A8BB8CCA3A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cenarios" sheetId="1" r:id="rId1"/>
    <sheet name="scenarios_swit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4" l="1"/>
  <c r="B24" i="4" a="1"/>
  <c r="B24" i="4" s="1"/>
  <c r="C24" i="4" a="1"/>
  <c r="C24" i="4" s="1"/>
  <c r="D24" i="4" a="1"/>
  <c r="D24" i="4" s="1"/>
  <c r="E24" i="4" a="1"/>
  <c r="E24" i="4" s="1"/>
  <c r="F24" i="4" a="1"/>
  <c r="F24" i="4" s="1"/>
  <c r="G24" i="4" a="1"/>
  <c r="G24" i="4"/>
  <c r="H24" i="4" a="1"/>
  <c r="H24" i="4" s="1"/>
  <c r="I24" i="4" a="1"/>
  <c r="I24" i="4" s="1"/>
  <c r="J24" i="4" a="1"/>
  <c r="J24" i="4" s="1"/>
  <c r="K24" i="4" a="1"/>
  <c r="K24" i="4" s="1"/>
  <c r="L24" i="4" a="1"/>
  <c r="L24" i="4" s="1"/>
  <c r="M24" i="4"/>
  <c r="N24" i="4"/>
  <c r="O24" i="4"/>
  <c r="P24" i="4"/>
  <c r="Q24" i="4"/>
  <c r="R24" i="4"/>
  <c r="B25" i="4" a="1"/>
  <c r="B25" i="4" s="1"/>
  <c r="C25" i="4" a="1"/>
  <c r="C25" i="4" s="1"/>
  <c r="D25" i="4" a="1"/>
  <c r="D25" i="4" s="1"/>
  <c r="E25" i="4" a="1"/>
  <c r="E25" i="4"/>
  <c r="F25" i="4" a="1"/>
  <c r="F25" i="4" s="1"/>
  <c r="G25" i="4" a="1"/>
  <c r="G25" i="4" s="1"/>
  <c r="H25" i="4" a="1"/>
  <c r="H25" i="4" s="1"/>
  <c r="I25" i="4" a="1"/>
  <c r="I25" i="4" s="1"/>
  <c r="J25" i="4" a="1"/>
  <c r="J25" i="4" s="1"/>
  <c r="K25" i="4" a="1"/>
  <c r="K25" i="4"/>
  <c r="L25" i="4" a="1"/>
  <c r="L25" i="4" s="1"/>
  <c r="N25" i="4"/>
  <c r="O25" i="4"/>
  <c r="P25" i="4"/>
  <c r="Q25" i="4"/>
  <c r="R25" i="4"/>
  <c r="B26" i="4" a="1"/>
  <c r="B26" i="4" s="1"/>
  <c r="C26" i="4" a="1"/>
  <c r="C26" i="4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I26" i="4" a="1"/>
  <c r="I26" i="4"/>
  <c r="J26" i="4" a="1"/>
  <c r="J26" i="4" s="1"/>
  <c r="K26" i="4" a="1"/>
  <c r="K26" i="4" s="1"/>
  <c r="L26" i="4" a="1"/>
  <c r="L26" i="4" s="1"/>
  <c r="M26" i="4"/>
  <c r="N26" i="4"/>
  <c r="O26" i="4"/>
  <c r="P26" i="4"/>
  <c r="Q26" i="4"/>
  <c r="R26" i="4"/>
  <c r="B27" i="4" a="1"/>
  <c r="B27" i="4" s="1"/>
  <c r="C27" i="4" a="1"/>
  <c r="C27" i="4" s="1"/>
  <c r="D27" i="4" a="1"/>
  <c r="D27" i="4" s="1"/>
  <c r="E27" i="4" a="1"/>
  <c r="E27" i="4" s="1"/>
  <c r="F27" i="4" a="1"/>
  <c r="F27" i="4" s="1"/>
  <c r="G27" i="4" a="1"/>
  <c r="G27" i="4"/>
  <c r="H27" i="4" a="1"/>
  <c r="H27" i="4" s="1"/>
  <c r="I27" i="4" a="1"/>
  <c r="I27" i="4" s="1"/>
  <c r="J27" i="4" a="1"/>
  <c r="J27" i="4" s="1"/>
  <c r="K27" i="4" a="1"/>
  <c r="K27" i="4" s="1"/>
  <c r="L27" i="4" a="1"/>
  <c r="L27" i="4" s="1"/>
  <c r="M27" i="4"/>
  <c r="N27" i="4"/>
  <c r="O27" i="4"/>
  <c r="P27" i="4"/>
  <c r="Q27" i="4"/>
  <c r="R27" i="4"/>
  <c r="B28" i="4" a="1"/>
  <c r="B28" i="4" s="1"/>
  <c r="C28" i="4" a="1"/>
  <c r="C28" i="4" s="1"/>
  <c r="D28" i="4" a="1"/>
  <c r="D28" i="4" s="1"/>
  <c r="E28" i="4" a="1"/>
  <c r="E28" i="4"/>
  <c r="F28" i="4" a="1"/>
  <c r="F28" i="4" s="1"/>
  <c r="G28" i="4" a="1"/>
  <c r="G28" i="4" s="1"/>
  <c r="H28" i="4" a="1"/>
  <c r="H28" i="4" s="1"/>
  <c r="I28" i="4" a="1"/>
  <c r="I28" i="4" s="1"/>
  <c r="J28" i="4" a="1"/>
  <c r="J28" i="4" s="1"/>
  <c r="K28" i="4" a="1"/>
  <c r="K28" i="4"/>
  <c r="L28" i="4" a="1"/>
  <c r="L28" i="4" s="1"/>
  <c r="M28" i="4"/>
  <c r="N28" i="4"/>
  <c r="O28" i="4"/>
  <c r="P28" i="4"/>
  <c r="Q28" i="4"/>
  <c r="R28" i="4"/>
  <c r="B29" i="4" a="1"/>
  <c r="B29" i="4" s="1"/>
  <c r="C29" i="4" a="1"/>
  <c r="C29" i="4"/>
  <c r="D29" i="4" a="1"/>
  <c r="D29" i="4" s="1"/>
  <c r="E29" i="4" a="1"/>
  <c r="E29" i="4" s="1"/>
  <c r="F29" i="4" a="1"/>
  <c r="F29" i="4" s="1"/>
  <c r="G29" i="4" a="1"/>
  <c r="G29" i="4" s="1"/>
  <c r="H29" i="4" a="1"/>
  <c r="H29" i="4" s="1"/>
  <c r="I29" i="4" a="1"/>
  <c r="I29" i="4"/>
  <c r="J29" i="4" a="1"/>
  <c r="J29" i="4" s="1"/>
  <c r="K29" i="4" a="1"/>
  <c r="K29" i="4" s="1"/>
  <c r="L29" i="4" a="1"/>
  <c r="L29" i="4" s="1"/>
  <c r="M29" i="4"/>
  <c r="N29" i="4"/>
  <c r="O29" i="4"/>
  <c r="P29" i="4"/>
  <c r="Q29" i="4"/>
  <c r="R29" i="4"/>
  <c r="B30" i="4" a="1"/>
  <c r="B30" i="4" s="1"/>
  <c r="C30" i="4" a="1"/>
  <c r="C30" i="4" s="1"/>
  <c r="D30" i="4" a="1"/>
  <c r="D30" i="4" s="1"/>
  <c r="E30" i="4" a="1"/>
  <c r="E30" i="4" s="1"/>
  <c r="F30" i="4" a="1"/>
  <c r="F30" i="4" s="1"/>
  <c r="G30" i="4" a="1"/>
  <c r="G30" i="4"/>
  <c r="H30" i="4" a="1"/>
  <c r="H30" i="4" s="1"/>
  <c r="I30" i="4" a="1"/>
  <c r="I30" i="4" s="1"/>
  <c r="J30" i="4" a="1"/>
  <c r="J30" i="4" s="1"/>
  <c r="K30" i="4" a="1"/>
  <c r="K30" i="4" s="1"/>
  <c r="L30" i="4" a="1"/>
  <c r="L30" i="4" s="1"/>
  <c r="M30" i="4"/>
  <c r="N30" i="4"/>
  <c r="O30" i="4"/>
  <c r="P30" i="4"/>
  <c r="Q30" i="4"/>
  <c r="R30" i="4"/>
  <c r="B31" i="4" a="1"/>
  <c r="B31" i="4" s="1"/>
  <c r="C31" i="4" a="1"/>
  <c r="C31" i="4" s="1"/>
  <c r="D31" i="4" a="1"/>
  <c r="D31" i="4" s="1"/>
  <c r="E31" i="4" a="1"/>
  <c r="E31" i="4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K31" i="4" a="1"/>
  <c r="K31" i="4"/>
  <c r="L31" i="4" a="1"/>
  <c r="L31" i="4" s="1"/>
  <c r="M31" i="4"/>
  <c r="N31" i="4"/>
  <c r="O31" i="4"/>
  <c r="P31" i="4"/>
  <c r="Q31" i="4"/>
  <c r="R31" i="4"/>
  <c r="B32" i="4" a="1"/>
  <c r="B32" i="4" s="1"/>
  <c r="C32" i="4" a="1"/>
  <c r="C32" i="4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/>
  <c r="J32" i="4" a="1"/>
  <c r="J32" i="4" s="1"/>
  <c r="K32" i="4" a="1"/>
  <c r="K32" i="4" s="1"/>
  <c r="L32" i="4" a="1"/>
  <c r="L32" i="4" s="1"/>
  <c r="M32" i="4"/>
  <c r="N32" i="4"/>
  <c r="O32" i="4"/>
  <c r="P32" i="4"/>
  <c r="Q32" i="4"/>
  <c r="R32" i="4"/>
  <c r="B33" i="4" a="1"/>
  <c r="B33" i="4" s="1"/>
  <c r="C33" i="4" a="1"/>
  <c r="C33" i="4" s="1"/>
  <c r="D33" i="4" a="1"/>
  <c r="D33" i="4" s="1"/>
  <c r="E33" i="4" a="1"/>
  <c r="E33" i="4" s="1"/>
  <c r="F33" i="4" a="1"/>
  <c r="F33" i="4" s="1"/>
  <c r="G33" i="4" a="1"/>
  <c r="G33" i="4"/>
  <c r="H33" i="4" a="1"/>
  <c r="H33" i="4" s="1"/>
  <c r="I33" i="4" a="1"/>
  <c r="I33" i="4" s="1"/>
  <c r="J33" i="4" a="1"/>
  <c r="J33" i="4" s="1"/>
  <c r="K33" i="4" a="1"/>
  <c r="K33" i="4" s="1"/>
  <c r="L33" i="4" a="1"/>
  <c r="L33" i="4" s="1"/>
  <c r="M33" i="4"/>
  <c r="N33" i="4"/>
  <c r="O33" i="4"/>
  <c r="P33" i="4"/>
  <c r="Q33" i="4"/>
  <c r="R33" i="4"/>
  <c r="B34" i="4" a="1"/>
  <c r="B34" i="4" s="1"/>
  <c r="C34" i="4" a="1"/>
  <c r="C34" i="4" s="1"/>
  <c r="D34" i="4" a="1"/>
  <c r="D34" i="4" s="1"/>
  <c r="E34" i="4" a="1"/>
  <c r="E34" i="4"/>
  <c r="F34" i="4" a="1"/>
  <c r="F34" i="4" s="1"/>
  <c r="G34" i="4" a="1"/>
  <c r="G34" i="4" s="1"/>
  <c r="H34" i="4" a="1"/>
  <c r="H34" i="4" s="1"/>
  <c r="I34" i="4" a="1"/>
  <c r="I34" i="4" s="1"/>
  <c r="J34" i="4" a="1"/>
  <c r="J34" i="4" s="1"/>
  <c r="K34" i="4" a="1"/>
  <c r="K34" i="4"/>
  <c r="L34" i="4" a="1"/>
  <c r="L34" i="4" s="1"/>
  <c r="M34" i="4"/>
  <c r="N34" i="4"/>
  <c r="O34" i="4"/>
  <c r="P34" i="4"/>
  <c r="Q34" i="4"/>
  <c r="R34" i="4"/>
  <c r="B35" i="4" a="1"/>
  <c r="B35" i="4" s="1"/>
  <c r="C35" i="4" a="1"/>
  <c r="C35" i="4"/>
  <c r="D35" i="4" a="1"/>
  <c r="D35" i="4" s="1"/>
  <c r="E35" i="4" a="1"/>
  <c r="E35" i="4" s="1"/>
  <c r="F35" i="4" a="1"/>
  <c r="F35" i="4" s="1"/>
  <c r="G35" i="4" a="1"/>
  <c r="G35" i="4" s="1"/>
  <c r="H35" i="4" a="1"/>
  <c r="H35" i="4" s="1"/>
  <c r="I35" i="4" a="1"/>
  <c r="I35" i="4"/>
  <c r="J35" i="4" a="1"/>
  <c r="J35" i="4" s="1"/>
  <c r="K35" i="4" a="1"/>
  <c r="K35" i="4" s="1"/>
  <c r="L35" i="4" a="1"/>
  <c r="L35" i="4" s="1"/>
  <c r="M35" i="4"/>
  <c r="N35" i="4"/>
  <c r="O35" i="4"/>
  <c r="P35" i="4"/>
  <c r="Q35" i="4"/>
  <c r="R35" i="4"/>
  <c r="B36" i="4" a="1"/>
  <c r="B36" i="4" s="1"/>
  <c r="C36" i="4" a="1"/>
  <c r="C36" i="4" s="1"/>
  <c r="D36" i="4" a="1"/>
  <c r="D36" i="4" s="1"/>
  <c r="E36" i="4" a="1"/>
  <c r="E36" i="4" s="1"/>
  <c r="F36" i="4" a="1"/>
  <c r="F36" i="4" s="1"/>
  <c r="G36" i="4" a="1"/>
  <c r="G36" i="4"/>
  <c r="H36" i="4" a="1"/>
  <c r="H36" i="4" s="1"/>
  <c r="I36" i="4" a="1"/>
  <c r="I36" i="4" s="1"/>
  <c r="J36" i="4" a="1"/>
  <c r="J36" i="4" s="1"/>
  <c r="K36" i="4" a="1"/>
  <c r="K36" i="4" s="1"/>
  <c r="L36" i="4" a="1"/>
  <c r="L36" i="4" s="1"/>
  <c r="M36" i="4"/>
  <c r="N36" i="4"/>
  <c r="O36" i="4"/>
  <c r="P36" i="4"/>
  <c r="Q36" i="4"/>
  <c r="R36" i="4"/>
  <c r="B37" i="4" a="1"/>
  <c r="B37" i="4" s="1"/>
  <c r="C37" i="4" a="1"/>
  <c r="C37" i="4" s="1"/>
  <c r="D37" i="4" a="1"/>
  <c r="D37" i="4" s="1"/>
  <c r="E37" i="4" a="1"/>
  <c r="E37" i="4"/>
  <c r="F37" i="4" a="1"/>
  <c r="F37" i="4" s="1"/>
  <c r="G37" i="4" a="1"/>
  <c r="G37" i="4" s="1"/>
  <c r="H37" i="4" a="1"/>
  <c r="H37" i="4" s="1"/>
  <c r="I37" i="4" a="1"/>
  <c r="I37" i="4" s="1"/>
  <c r="J37" i="4" a="1"/>
  <c r="J37" i="4" s="1"/>
  <c r="K37" i="4" a="1"/>
  <c r="K37" i="4"/>
  <c r="L37" i="4" a="1"/>
  <c r="L37" i="4" s="1"/>
  <c r="M37" i="4"/>
  <c r="N37" i="4"/>
  <c r="O37" i="4"/>
  <c r="P37" i="4"/>
  <c r="Q37" i="4"/>
  <c r="R37" i="4"/>
  <c r="B38" i="4" a="1"/>
  <c r="B38" i="4" s="1"/>
  <c r="C38" i="4" a="1"/>
  <c r="C38" i="4"/>
  <c r="D38" i="4" a="1"/>
  <c r="D38" i="4" s="1"/>
  <c r="E38" i="4" a="1"/>
  <c r="E38" i="4" s="1"/>
  <c r="F38" i="4" a="1"/>
  <c r="F38" i="4" s="1"/>
  <c r="G38" i="4" a="1"/>
  <c r="G38" i="4" s="1"/>
  <c r="H38" i="4" a="1"/>
  <c r="H38" i="4" s="1"/>
  <c r="I38" i="4" a="1"/>
  <c r="I38" i="4"/>
  <c r="J38" i="4" a="1"/>
  <c r="J38" i="4" s="1"/>
  <c r="K38" i="4" a="1"/>
  <c r="K38" i="4" s="1"/>
  <c r="L38" i="4" a="1"/>
  <c r="L38" i="4" s="1"/>
  <c r="M38" i="4"/>
  <c r="N38" i="4"/>
  <c r="O38" i="4"/>
  <c r="P38" i="4"/>
  <c r="Q38" i="4"/>
  <c r="R38" i="4"/>
  <c r="B39" i="4" a="1"/>
  <c r="B39" i="4" s="1"/>
  <c r="C39" i="4" a="1"/>
  <c r="C39" i="4" s="1"/>
  <c r="D39" i="4" a="1"/>
  <c r="D39" i="4" s="1"/>
  <c r="E39" i="4" a="1"/>
  <c r="E39" i="4" s="1"/>
  <c r="F39" i="4" a="1"/>
  <c r="F39" i="4" s="1"/>
  <c r="G39" i="4" a="1"/>
  <c r="G39" i="4"/>
  <c r="H39" i="4" a="1"/>
  <c r="H39" i="4" s="1"/>
  <c r="I39" i="4" a="1"/>
  <c r="I39" i="4" s="1"/>
  <c r="J39" i="4" a="1"/>
  <c r="J39" i="4" s="1"/>
  <c r="K39" i="4" a="1"/>
  <c r="K39" i="4" s="1"/>
  <c r="L39" i="4" a="1"/>
  <c r="L39" i="4" s="1"/>
  <c r="M39" i="4"/>
  <c r="N39" i="4"/>
  <c r="O39" i="4"/>
  <c r="P39" i="4"/>
  <c r="Q39" i="4"/>
  <c r="R39" i="4"/>
  <c r="B40" i="4" a="1"/>
  <c r="B40" i="4" s="1"/>
  <c r="C40" i="4" a="1"/>
  <c r="C40" i="4" s="1"/>
  <c r="D40" i="4" a="1"/>
  <c r="D40" i="4" s="1"/>
  <c r="E40" i="4" a="1"/>
  <c r="E40" i="4"/>
  <c r="F40" i="4" a="1"/>
  <c r="F40" i="4" s="1"/>
  <c r="G40" i="4" a="1"/>
  <c r="G40" i="4" s="1"/>
  <c r="H40" i="4" a="1"/>
  <c r="H40" i="4" s="1"/>
  <c r="I40" i="4" a="1"/>
  <c r="I40" i="4" s="1"/>
  <c r="J40" i="4" a="1"/>
  <c r="J40" i="4" s="1"/>
  <c r="K40" i="4" a="1"/>
  <c r="K40" i="4"/>
  <c r="L40" i="4" a="1"/>
  <c r="L40" i="4" s="1"/>
  <c r="M40" i="4"/>
  <c r="N40" i="4"/>
  <c r="O40" i="4"/>
  <c r="P40" i="4"/>
  <c r="Q40" i="4"/>
  <c r="R40" i="4"/>
  <c r="B41" i="4" a="1"/>
  <c r="B41" i="4" s="1"/>
  <c r="C41" i="4" a="1"/>
  <c r="C41" i="4"/>
  <c r="D41" i="4" a="1"/>
  <c r="D41" i="4" s="1"/>
  <c r="E41" i="4" a="1"/>
  <c r="E41" i="4" s="1"/>
  <c r="F41" i="4" a="1"/>
  <c r="F41" i="4" s="1"/>
  <c r="G41" i="4" a="1"/>
  <c r="G41" i="4" s="1"/>
  <c r="H41" i="4" a="1"/>
  <c r="H41" i="4" s="1"/>
  <c r="I41" i="4" a="1"/>
  <c r="I41" i="4"/>
  <c r="J41" i="4" a="1"/>
  <c r="J41" i="4" s="1"/>
  <c r="K41" i="4" a="1"/>
  <c r="K41" i="4" s="1"/>
  <c r="L41" i="4" a="1"/>
  <c r="L41" i="4" s="1"/>
  <c r="M41" i="4"/>
  <c r="N41" i="4"/>
  <c r="O41" i="4"/>
  <c r="P41" i="4"/>
  <c r="Q41" i="4"/>
  <c r="R41" i="4"/>
  <c r="B42" i="4" a="1"/>
  <c r="B42" i="4" s="1"/>
  <c r="C42" i="4" a="1"/>
  <c r="C42" i="4" s="1"/>
  <c r="D42" i="4" a="1"/>
  <c r="D42" i="4" s="1"/>
  <c r="E42" i="4" a="1"/>
  <c r="E42" i="4" s="1"/>
  <c r="F42" i="4" a="1"/>
  <c r="F42" i="4" s="1"/>
  <c r="G42" i="4" a="1"/>
  <c r="G42" i="4"/>
  <c r="H42" i="4" a="1"/>
  <c r="H42" i="4" s="1"/>
  <c r="I42" i="4" a="1"/>
  <c r="I42" i="4" s="1"/>
  <c r="J42" i="4" a="1"/>
  <c r="J42" i="4" s="1"/>
  <c r="K42" i="4" a="1"/>
  <c r="K42" i="4" s="1"/>
  <c r="L42" i="4" a="1"/>
  <c r="L42" i="4" s="1"/>
  <c r="M42" i="4"/>
  <c r="N42" i="4"/>
  <c r="O42" i="4"/>
  <c r="P42" i="4"/>
  <c r="Q42" i="4"/>
  <c r="R42" i="4"/>
  <c r="B43" i="4" a="1"/>
  <c r="B43" i="4" s="1"/>
  <c r="C43" i="4" a="1"/>
  <c r="C43" i="4" s="1"/>
  <c r="D43" i="4" a="1"/>
  <c r="D43" i="4" s="1"/>
  <c r="E43" i="4" a="1"/>
  <c r="E43" i="4"/>
  <c r="F43" i="4" a="1"/>
  <c r="F43" i="4" s="1"/>
  <c r="G43" i="4" a="1"/>
  <c r="G43" i="4" s="1"/>
  <c r="H43" i="4" a="1"/>
  <c r="H43" i="4" s="1"/>
  <c r="I43" i="4" a="1"/>
  <c r="I43" i="4" s="1"/>
  <c r="J43" i="4" a="1"/>
  <c r="J43" i="4" s="1"/>
  <c r="K43" i="4" a="1"/>
  <c r="K43" i="4"/>
  <c r="L43" i="4" a="1"/>
  <c r="L43" i="4" s="1"/>
  <c r="M43" i="4"/>
  <c r="N43" i="4"/>
  <c r="O43" i="4"/>
  <c r="P43" i="4"/>
  <c r="Q43" i="4"/>
  <c r="R43" i="4"/>
  <c r="B44" i="4" a="1"/>
  <c r="B44" i="4" s="1"/>
  <c r="C44" i="4" a="1"/>
  <c r="C44" i="4"/>
  <c r="D44" i="4" a="1"/>
  <c r="D44" i="4" s="1"/>
  <c r="E44" i="4" a="1"/>
  <c r="E44" i="4" s="1"/>
  <c r="F44" i="4" a="1"/>
  <c r="F44" i="4" s="1"/>
  <c r="G44" i="4" a="1"/>
  <c r="G44" i="4" s="1"/>
  <c r="H44" i="4" a="1"/>
  <c r="H44" i="4" s="1"/>
  <c r="I44" i="4" a="1"/>
  <c r="I44" i="4"/>
  <c r="J44" i="4" a="1"/>
  <c r="J44" i="4" s="1"/>
  <c r="K44" i="4" a="1"/>
  <c r="K44" i="4" s="1"/>
  <c r="L44" i="4" a="1"/>
  <c r="L44" i="4" s="1"/>
  <c r="M44" i="4"/>
  <c r="N44" i="4"/>
  <c r="O44" i="4"/>
  <c r="P44" i="4"/>
  <c r="Q44" i="4"/>
  <c r="R44" i="4"/>
  <c r="B45" i="4" a="1"/>
  <c r="B45" i="4" s="1"/>
  <c r="C45" i="4" a="1"/>
  <c r="C45" i="4" s="1"/>
  <c r="D45" i="4" a="1"/>
  <c r="D45" i="4" s="1"/>
  <c r="E45" i="4" a="1"/>
  <c r="E45" i="4" s="1"/>
  <c r="F45" i="4" a="1"/>
  <c r="F45" i="4" s="1"/>
  <c r="G45" i="4" a="1"/>
  <c r="G45" i="4"/>
  <c r="H45" i="4" a="1"/>
  <c r="H45" i="4" s="1"/>
  <c r="I45" i="4" a="1"/>
  <c r="I45" i="4" s="1"/>
  <c r="J45" i="4" a="1"/>
  <c r="J45" i="4" s="1"/>
  <c r="K45" i="4" a="1"/>
  <c r="K45" i="4" s="1"/>
  <c r="L45" i="4" a="1"/>
  <c r="L45" i="4" s="1"/>
  <c r="M45" i="4"/>
  <c r="N45" i="4"/>
  <c r="O45" i="4"/>
  <c r="P45" i="4"/>
  <c r="Q45" i="4"/>
  <c r="R45" i="4"/>
  <c r="B46" i="4" a="1"/>
  <c r="B46" i="4" s="1"/>
  <c r="C46" i="4" a="1"/>
  <c r="C46" i="4" s="1"/>
  <c r="D46" i="4" a="1"/>
  <c r="D46" i="4" s="1"/>
  <c r="E46" i="4" a="1"/>
  <c r="E46" i="4"/>
  <c r="F46" i="4" a="1"/>
  <c r="F46" i="4" s="1"/>
  <c r="G46" i="4" a="1"/>
  <c r="G46" i="4" s="1"/>
  <c r="H46" i="4" a="1"/>
  <c r="H46" i="4" s="1"/>
  <c r="I46" i="4" a="1"/>
  <c r="I46" i="4" s="1"/>
  <c r="J46" i="4" a="1"/>
  <c r="J46" i="4" s="1"/>
  <c r="K46" i="4" a="1"/>
  <c r="K46" i="4"/>
  <c r="L46" i="4" a="1"/>
  <c r="L46" i="4" s="1"/>
  <c r="M46" i="4"/>
  <c r="N46" i="4"/>
  <c r="O46" i="4"/>
  <c r="P46" i="4"/>
  <c r="Q46" i="4"/>
  <c r="R46" i="4"/>
  <c r="B47" i="4" a="1"/>
  <c r="B47" i="4" s="1"/>
  <c r="C47" i="4" a="1"/>
  <c r="C47" i="4"/>
  <c r="D47" i="4" a="1"/>
  <c r="D47" i="4" s="1"/>
  <c r="E47" i="4" a="1"/>
  <c r="E47" i="4" s="1"/>
  <c r="F47" i="4" a="1"/>
  <c r="F47" i="4" s="1"/>
  <c r="G47" i="4" a="1"/>
  <c r="G47" i="4" s="1"/>
  <c r="H47" i="4" a="1"/>
  <c r="H47" i="4" s="1"/>
  <c r="I47" i="4" a="1"/>
  <c r="I47" i="4"/>
  <c r="J47" i="4" a="1"/>
  <c r="J47" i="4" s="1"/>
  <c r="K47" i="4" a="1"/>
  <c r="K47" i="4" s="1"/>
  <c r="L47" i="4" a="1"/>
  <c r="L47" i="4" s="1"/>
  <c r="M47" i="4"/>
  <c r="N47" i="4"/>
  <c r="O47" i="4"/>
  <c r="P47" i="4"/>
  <c r="Q47" i="4"/>
  <c r="R47" i="4"/>
  <c r="B48" i="4" a="1"/>
  <c r="B48" i="4" s="1"/>
  <c r="C48" i="4" a="1"/>
  <c r="C48" i="4" s="1"/>
  <c r="D48" i="4" a="1"/>
  <c r="D48" i="4" s="1"/>
  <c r="E48" i="4" a="1"/>
  <c r="E48" i="4" s="1"/>
  <c r="F48" i="4" a="1"/>
  <c r="F48" i="4" s="1"/>
  <c r="G48" i="4" a="1"/>
  <c r="G48" i="4"/>
  <c r="H48" i="4" a="1"/>
  <c r="H48" i="4" s="1"/>
  <c r="I48" i="4" a="1"/>
  <c r="I48" i="4" s="1"/>
  <c r="J48" i="4" a="1"/>
  <c r="J48" i="4" s="1"/>
  <c r="K48" i="4" a="1"/>
  <c r="K48" i="4" s="1"/>
  <c r="L48" i="4" a="1"/>
  <c r="L48" i="4" s="1"/>
  <c r="M48" i="4"/>
  <c r="N48" i="4"/>
  <c r="O48" i="4"/>
  <c r="P48" i="4"/>
  <c r="Q48" i="4"/>
  <c r="R48" i="4"/>
  <c r="B49" i="4" a="1"/>
  <c r="B49" i="4" s="1"/>
  <c r="C49" i="4" a="1"/>
  <c r="C49" i="4" s="1"/>
  <c r="D49" i="4" a="1"/>
  <c r="D49" i="4" s="1"/>
  <c r="E49" i="4" a="1"/>
  <c r="E49" i="4"/>
  <c r="F49" i="4" a="1"/>
  <c r="F49" i="4" s="1"/>
  <c r="G49" i="4" a="1"/>
  <c r="G49" i="4" s="1"/>
  <c r="H49" i="4" a="1"/>
  <c r="H49" i="4" s="1"/>
  <c r="I49" i="4" a="1"/>
  <c r="I49" i="4" s="1"/>
  <c r="J49" i="4" a="1"/>
  <c r="J49" i="4" s="1"/>
  <c r="K49" i="4" a="1"/>
  <c r="K49" i="4"/>
  <c r="L49" i="4" a="1"/>
  <c r="L49" i="4" s="1"/>
  <c r="M49" i="4"/>
  <c r="N49" i="4"/>
  <c r="O49" i="4"/>
  <c r="P49" i="4"/>
  <c r="Q49" i="4"/>
  <c r="R49" i="4"/>
  <c r="B50" i="4" a="1"/>
  <c r="B50" i="4" s="1"/>
  <c r="C50" i="4" a="1"/>
  <c r="C50" i="4"/>
  <c r="D50" i="4" a="1"/>
  <c r="D50" i="4" s="1"/>
  <c r="E50" i="4" a="1"/>
  <c r="E50" i="4" s="1"/>
  <c r="F50" i="4" a="1"/>
  <c r="F50" i="4" s="1"/>
  <c r="G50" i="4" a="1"/>
  <c r="G50" i="4" s="1"/>
  <c r="H50" i="4" a="1"/>
  <c r="H50" i="4" s="1"/>
  <c r="I50" i="4" a="1"/>
  <c r="I50" i="4"/>
  <c r="J50" i="4" a="1"/>
  <c r="J50" i="4" s="1"/>
  <c r="K50" i="4" a="1"/>
  <c r="K50" i="4" s="1"/>
  <c r="L50" i="4" a="1"/>
  <c r="L50" i="4" s="1"/>
  <c r="M50" i="4"/>
  <c r="N50" i="4"/>
  <c r="O50" i="4"/>
  <c r="P50" i="4"/>
  <c r="Q50" i="4"/>
  <c r="R50" i="4"/>
  <c r="B51" i="4" a="1"/>
  <c r="B51" i="4" s="1"/>
  <c r="C51" i="4" a="1"/>
  <c r="C51" i="4" s="1"/>
  <c r="D51" i="4" a="1"/>
  <c r="D51" i="4" s="1"/>
  <c r="E51" i="4" a="1"/>
  <c r="E51" i="4" s="1"/>
  <c r="F51" i="4" a="1"/>
  <c r="F51" i="4" s="1"/>
  <c r="G51" i="4" a="1"/>
  <c r="G51" i="4"/>
  <c r="H51" i="4" a="1"/>
  <c r="H51" i="4" s="1"/>
  <c r="I51" i="4" a="1"/>
  <c r="I51" i="4" s="1"/>
  <c r="J51" i="4" a="1"/>
  <c r="J51" i="4" s="1"/>
  <c r="K51" i="4" a="1"/>
  <c r="K51" i="4" s="1"/>
  <c r="L51" i="4" a="1"/>
  <c r="L51" i="4" s="1"/>
  <c r="M51" i="4"/>
  <c r="N51" i="4"/>
  <c r="O51" i="4"/>
  <c r="P51" i="4"/>
  <c r="Q51" i="4"/>
  <c r="R51" i="4"/>
  <c r="B52" i="4" a="1"/>
  <c r="B52" i="4" s="1"/>
  <c r="C52" i="4" a="1"/>
  <c r="C52" i="4" s="1"/>
  <c r="D52" i="4" a="1"/>
  <c r="D52" i="4" s="1"/>
  <c r="E52" i="4" a="1"/>
  <c r="E52" i="4"/>
  <c r="F52" i="4" a="1"/>
  <c r="F52" i="4" s="1"/>
  <c r="G52" i="4" a="1"/>
  <c r="G52" i="4" s="1"/>
  <c r="H52" i="4" a="1"/>
  <c r="H52" i="4" s="1"/>
  <c r="I52" i="4" a="1"/>
  <c r="I52" i="4" s="1"/>
  <c r="J52" i="4" a="1"/>
  <c r="J52" i="4" s="1"/>
  <c r="K52" i="4" a="1"/>
  <c r="K52" i="4"/>
  <c r="L52" i="4" a="1"/>
  <c r="L52" i="4" s="1"/>
  <c r="M52" i="4"/>
  <c r="N52" i="4"/>
  <c r="O52" i="4"/>
  <c r="P52" i="4"/>
  <c r="Q52" i="4"/>
  <c r="R52" i="4"/>
  <c r="B4" i="4" a="1"/>
  <c r="B4" i="4" s="1"/>
  <c r="C4" i="4" a="1"/>
  <c r="C4" i="4" s="1"/>
  <c r="D4" i="4" a="1"/>
  <c r="D4" i="4" s="1"/>
  <c r="E4" i="4" a="1"/>
  <c r="E4" i="4" s="1"/>
  <c r="F4" i="4" a="1"/>
  <c r="F4" i="4" s="1"/>
  <c r="G4" i="4" a="1"/>
  <c r="G4" i="4" s="1"/>
  <c r="H4" i="4" a="1"/>
  <c r="H4" i="4" s="1"/>
  <c r="I4" i="4" a="1"/>
  <c r="I4" i="4" s="1"/>
  <c r="J4" i="4" a="1"/>
  <c r="J4" i="4" s="1"/>
  <c r="K4" i="4" a="1"/>
  <c r="K4" i="4" s="1"/>
  <c r="L4" i="4" a="1"/>
  <c r="L4" i="4" s="1"/>
  <c r="M4" i="4"/>
  <c r="N4" i="4"/>
  <c r="O4" i="4"/>
  <c r="P4" i="4"/>
  <c r="Q4" i="4"/>
  <c r="R4" i="4"/>
  <c r="B5" i="4" a="1"/>
  <c r="B5" i="4" s="1"/>
  <c r="C5" i="4" a="1"/>
  <c r="C5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J5" i="4" a="1"/>
  <c r="J5" i="4" s="1"/>
  <c r="K5" i="4" a="1"/>
  <c r="K5" i="4" s="1"/>
  <c r="L5" i="4" a="1"/>
  <c r="L5" i="4" s="1"/>
  <c r="M5" i="4"/>
  <c r="N5" i="4"/>
  <c r="O5" i="4"/>
  <c r="P5" i="4"/>
  <c r="Q5" i="4"/>
  <c r="R5" i="4"/>
  <c r="B6" i="4" a="1"/>
  <c r="B6" i="4" s="1"/>
  <c r="C6" i="4" a="1"/>
  <c r="C6" i="4" s="1"/>
  <c r="D6" i="4" a="1"/>
  <c r="D6" i="4" s="1"/>
  <c r="E6" i="4" a="1"/>
  <c r="E6" i="4" s="1"/>
  <c r="F6" i="4" a="1"/>
  <c r="F6" i="4" s="1"/>
  <c r="G6" i="4" a="1"/>
  <c r="G6" i="4" s="1"/>
  <c r="H6" i="4" a="1"/>
  <c r="H6" i="4" s="1"/>
  <c r="I6" i="4" a="1"/>
  <c r="I6" i="4" s="1"/>
  <c r="J6" i="4" a="1"/>
  <c r="J6" i="4" s="1"/>
  <c r="K6" i="4" a="1"/>
  <c r="K6" i="4" s="1"/>
  <c r="L6" i="4" a="1"/>
  <c r="L6" i="4" s="1"/>
  <c r="M6" i="4"/>
  <c r="N6" i="4"/>
  <c r="O6" i="4"/>
  <c r="P6" i="4"/>
  <c r="Q6" i="4"/>
  <c r="R6" i="4"/>
  <c r="B7" i="4" a="1"/>
  <c r="B7" i="4" s="1"/>
  <c r="C7" i="4" a="1"/>
  <c r="C7" i="4" s="1"/>
  <c r="D7" i="4" a="1"/>
  <c r="D7" i="4" s="1"/>
  <c r="E7" i="4" a="1"/>
  <c r="E7" i="4" s="1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 s="1"/>
  <c r="L7" i="4" a="1"/>
  <c r="L7" i="4" s="1"/>
  <c r="M7" i="4"/>
  <c r="N7" i="4"/>
  <c r="O7" i="4"/>
  <c r="P7" i="4"/>
  <c r="Q7" i="4"/>
  <c r="R7" i="4"/>
  <c r="B8" i="4" a="1"/>
  <c r="B8" i="4" s="1"/>
  <c r="C8" i="4" a="1"/>
  <c r="C8" i="4" s="1"/>
  <c r="D8" i="4" a="1"/>
  <c r="D8" i="4" s="1"/>
  <c r="E8" i="4" a="1"/>
  <c r="E8" i="4" s="1"/>
  <c r="F8" i="4" a="1"/>
  <c r="F8" i="4" s="1"/>
  <c r="G8" i="4" a="1"/>
  <c r="G8" i="4" s="1"/>
  <c r="H8" i="4" a="1"/>
  <c r="H8" i="4" s="1"/>
  <c r="I8" i="4" a="1"/>
  <c r="I8" i="4" s="1"/>
  <c r="J8" i="4" a="1"/>
  <c r="J8" i="4" s="1"/>
  <c r="K8" i="4" a="1"/>
  <c r="K8" i="4" s="1"/>
  <c r="L8" i="4" a="1"/>
  <c r="L8" i="4" s="1"/>
  <c r="M8" i="4"/>
  <c r="N8" i="4"/>
  <c r="O8" i="4"/>
  <c r="P8" i="4"/>
  <c r="Q8" i="4"/>
  <c r="R8" i="4"/>
  <c r="B9" i="4" a="1"/>
  <c r="B9" i="4" s="1"/>
  <c r="C9" i="4" a="1"/>
  <c r="C9" i="4" s="1"/>
  <c r="D9" i="4" a="1"/>
  <c r="D9" i="4" s="1"/>
  <c r="E9" i="4" a="1"/>
  <c r="E9" i="4" s="1"/>
  <c r="F9" i="4" a="1"/>
  <c r="F9" i="4" s="1"/>
  <c r="G9" i="4" a="1"/>
  <c r="G9" i="4" s="1"/>
  <c r="H9" i="4" a="1"/>
  <c r="H9" i="4" s="1"/>
  <c r="I9" i="4" a="1"/>
  <c r="I9" i="4" s="1"/>
  <c r="J9" i="4" a="1"/>
  <c r="J9" i="4" s="1"/>
  <c r="K9" i="4" a="1"/>
  <c r="K9" i="4" s="1"/>
  <c r="L9" i="4" a="1"/>
  <c r="L9" i="4" s="1"/>
  <c r="M9" i="4"/>
  <c r="N9" i="4"/>
  <c r="O9" i="4"/>
  <c r="P9" i="4"/>
  <c r="Q9" i="4"/>
  <c r="R9" i="4"/>
  <c r="B10" i="4" a="1"/>
  <c r="B10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L10" i="4" a="1"/>
  <c r="L10" i="4" s="1"/>
  <c r="M10" i="4"/>
  <c r="N10" i="4"/>
  <c r="O10" i="4"/>
  <c r="P10" i="4"/>
  <c r="Q10" i="4"/>
  <c r="R10" i="4"/>
  <c r="B11" i="4" a="1"/>
  <c r="B11" i="4" s="1"/>
  <c r="C11" i="4" a="1"/>
  <c r="C11" i="4" s="1"/>
  <c r="D11" i="4" a="1"/>
  <c r="D11" i="4" s="1"/>
  <c r="E11" i="4" a="1"/>
  <c r="E11" i="4" s="1"/>
  <c r="F11" i="4" a="1"/>
  <c r="F11" i="4" s="1"/>
  <c r="G11" i="4" a="1"/>
  <c r="G11" i="4" s="1"/>
  <c r="H11" i="4" a="1"/>
  <c r="H11" i="4" s="1"/>
  <c r="I11" i="4" a="1"/>
  <c r="I11" i="4" s="1"/>
  <c r="J11" i="4" a="1"/>
  <c r="J11" i="4" s="1"/>
  <c r="K11" i="4" a="1"/>
  <c r="K11" i="4" s="1"/>
  <c r="L11" i="4" a="1"/>
  <c r="L11" i="4" s="1"/>
  <c r="M11" i="4"/>
  <c r="N11" i="4"/>
  <c r="O11" i="4"/>
  <c r="P11" i="4"/>
  <c r="Q11" i="4"/>
  <c r="R11" i="4"/>
  <c r="B12" i="4" a="1"/>
  <c r="B12" i="4" s="1"/>
  <c r="C12" i="4" a="1"/>
  <c r="C12" i="4" s="1"/>
  <c r="D12" i="4" a="1"/>
  <c r="D12" i="4" s="1"/>
  <c r="E12" i="4" a="1"/>
  <c r="E12" i="4" s="1"/>
  <c r="F12" i="4" a="1"/>
  <c r="F12" i="4" s="1"/>
  <c r="G12" i="4" a="1"/>
  <c r="G12" i="4" s="1"/>
  <c r="H12" i="4" a="1"/>
  <c r="H12" i="4" s="1"/>
  <c r="I12" i="4" a="1"/>
  <c r="I12" i="4" s="1"/>
  <c r="J12" i="4" a="1"/>
  <c r="J12" i="4" s="1"/>
  <c r="K12" i="4" a="1"/>
  <c r="K12" i="4" s="1"/>
  <c r="L12" i="4" a="1"/>
  <c r="L12" i="4" s="1"/>
  <c r="M12" i="4"/>
  <c r="N12" i="4"/>
  <c r="O12" i="4"/>
  <c r="P12" i="4"/>
  <c r="Q12" i="4"/>
  <c r="R12" i="4"/>
  <c r="B13" i="4" a="1"/>
  <c r="B13" i="4" s="1"/>
  <c r="C13" i="4" a="1"/>
  <c r="C13" i="4" s="1"/>
  <c r="D13" i="4" a="1"/>
  <c r="D13" i="4" s="1"/>
  <c r="E13" i="4" a="1"/>
  <c r="E13" i="4" s="1"/>
  <c r="F13" i="4" a="1"/>
  <c r="F13" i="4" s="1"/>
  <c r="G13" i="4" a="1"/>
  <c r="G13" i="4" s="1"/>
  <c r="H13" i="4" a="1"/>
  <c r="H13" i="4" s="1"/>
  <c r="I13" i="4" a="1"/>
  <c r="I13" i="4" s="1"/>
  <c r="J13" i="4" a="1"/>
  <c r="J13" i="4" s="1"/>
  <c r="K13" i="4" a="1"/>
  <c r="K13" i="4" s="1"/>
  <c r="L13" i="4" a="1"/>
  <c r="L13" i="4" s="1"/>
  <c r="M13" i="4"/>
  <c r="N13" i="4"/>
  <c r="O13" i="4"/>
  <c r="P13" i="4"/>
  <c r="Q13" i="4"/>
  <c r="R13" i="4"/>
  <c r="B14" i="4" a="1"/>
  <c r="B14" i="4" s="1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J14" i="4" a="1"/>
  <c r="J14" i="4" s="1"/>
  <c r="K14" i="4" a="1"/>
  <c r="K14" i="4" s="1"/>
  <c r="L14" i="4" a="1"/>
  <c r="L14" i="4" s="1"/>
  <c r="M14" i="4"/>
  <c r="N14" i="4"/>
  <c r="O14" i="4"/>
  <c r="P14" i="4"/>
  <c r="Q14" i="4"/>
  <c r="R14" i="4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J15" i="4" a="1"/>
  <c r="J15" i="4" s="1"/>
  <c r="K15" i="4" a="1"/>
  <c r="K15" i="4" s="1"/>
  <c r="L15" i="4" a="1"/>
  <c r="L15" i="4" s="1"/>
  <c r="M15" i="4"/>
  <c r="N15" i="4"/>
  <c r="O15" i="4"/>
  <c r="P15" i="4"/>
  <c r="Q15" i="4"/>
  <c r="R15" i="4"/>
  <c r="B16" i="4" a="1"/>
  <c r="B16" i="4" s="1"/>
  <c r="C16" i="4" a="1"/>
  <c r="C16" i="4" s="1"/>
  <c r="D16" i="4" a="1"/>
  <c r="D16" i="4" s="1"/>
  <c r="E16" i="4" a="1"/>
  <c r="E16" i="4" s="1"/>
  <c r="F16" i="4" a="1"/>
  <c r="F16" i="4" s="1"/>
  <c r="G16" i="4" a="1"/>
  <c r="G16" i="4" s="1"/>
  <c r="H16" i="4" a="1"/>
  <c r="H16" i="4" s="1"/>
  <c r="I16" i="4" a="1"/>
  <c r="I16" i="4" s="1"/>
  <c r="J16" i="4" a="1"/>
  <c r="J16" i="4" s="1"/>
  <c r="K16" i="4" a="1"/>
  <c r="K16" i="4" s="1"/>
  <c r="L16" i="4" a="1"/>
  <c r="L16" i="4" s="1"/>
  <c r="M16" i="4"/>
  <c r="N16" i="4"/>
  <c r="O16" i="4"/>
  <c r="P16" i="4"/>
  <c r="Q16" i="4"/>
  <c r="R16" i="4"/>
  <c r="B17" i="4" a="1"/>
  <c r="B17" i="4" s="1"/>
  <c r="C17" i="4" a="1"/>
  <c r="C17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J17" i="4" a="1"/>
  <c r="J17" i="4" s="1"/>
  <c r="K17" i="4" a="1"/>
  <c r="K17" i="4" s="1"/>
  <c r="L17" i="4" a="1"/>
  <c r="L17" i="4" s="1"/>
  <c r="M17" i="4"/>
  <c r="N17" i="4"/>
  <c r="O17" i="4"/>
  <c r="P17" i="4"/>
  <c r="Q17" i="4"/>
  <c r="R17" i="4"/>
  <c r="B18" i="4" a="1"/>
  <c r="B18" i="4" s="1"/>
  <c r="C18" i="4" a="1"/>
  <c r="C18" i="4" s="1"/>
  <c r="D18" i="4" a="1"/>
  <c r="D18" i="4" s="1"/>
  <c r="E18" i="4" a="1"/>
  <c r="E18" i="4" s="1"/>
  <c r="F18" i="4" a="1"/>
  <c r="F18" i="4" s="1"/>
  <c r="G18" i="4" a="1"/>
  <c r="G18" i="4" s="1"/>
  <c r="H18" i="4" a="1"/>
  <c r="H18" i="4" s="1"/>
  <c r="I18" i="4" a="1"/>
  <c r="I18" i="4" s="1"/>
  <c r="J18" i="4" a="1"/>
  <c r="J18" i="4" s="1"/>
  <c r="K18" i="4" a="1"/>
  <c r="K18" i="4" s="1"/>
  <c r="L18" i="4" a="1"/>
  <c r="L18" i="4" s="1"/>
  <c r="M18" i="4"/>
  <c r="N18" i="4"/>
  <c r="O18" i="4"/>
  <c r="P18" i="4"/>
  <c r="Q18" i="4"/>
  <c r="R18" i="4"/>
  <c r="B19" i="4" a="1"/>
  <c r="B19" i="4" s="1"/>
  <c r="C19" i="4" a="1"/>
  <c r="C19" i="4" s="1"/>
  <c r="D19" i="4" a="1"/>
  <c r="D19" i="4" s="1"/>
  <c r="E19" i="4" a="1"/>
  <c r="E19" i="4" s="1"/>
  <c r="F19" i="4" a="1"/>
  <c r="F19" i="4" s="1"/>
  <c r="G19" i="4" a="1"/>
  <c r="G19" i="4" s="1"/>
  <c r="H19" i="4" a="1"/>
  <c r="H19" i="4" s="1"/>
  <c r="I19" i="4" a="1"/>
  <c r="I19" i="4" s="1"/>
  <c r="J19" i="4" a="1"/>
  <c r="J19" i="4" s="1"/>
  <c r="K19" i="4" a="1"/>
  <c r="K19" i="4" s="1"/>
  <c r="L19" i="4" a="1"/>
  <c r="L19" i="4" s="1"/>
  <c r="M19" i="4"/>
  <c r="N19" i="4"/>
  <c r="O19" i="4"/>
  <c r="P19" i="4"/>
  <c r="Q19" i="4"/>
  <c r="R19" i="4"/>
  <c r="B20" i="4" a="1"/>
  <c r="B20" i="4" s="1"/>
  <c r="C20" i="4" a="1"/>
  <c r="C20" i="4" s="1"/>
  <c r="D20" i="4" a="1"/>
  <c r="D20" i="4" s="1"/>
  <c r="E20" i="4" a="1"/>
  <c r="E20" i="4" s="1"/>
  <c r="F20" i="4" a="1"/>
  <c r="F20" i="4" s="1"/>
  <c r="G20" i="4" a="1"/>
  <c r="G20" i="4" s="1"/>
  <c r="H20" i="4" a="1"/>
  <c r="H20" i="4" s="1"/>
  <c r="I20" i="4" a="1"/>
  <c r="I20" i="4" s="1"/>
  <c r="J20" i="4" a="1"/>
  <c r="J20" i="4" s="1"/>
  <c r="K20" i="4" a="1"/>
  <c r="K20" i="4" s="1"/>
  <c r="L20" i="4" a="1"/>
  <c r="L20" i="4" s="1"/>
  <c r="M20" i="4"/>
  <c r="N20" i="4"/>
  <c r="O20" i="4"/>
  <c r="P20" i="4"/>
  <c r="Q20" i="4"/>
  <c r="R20" i="4"/>
  <c r="B21" i="4" a="1"/>
  <c r="B21" i="4" s="1"/>
  <c r="C21" i="4" a="1"/>
  <c r="C21" i="4" s="1"/>
  <c r="D21" i="4" a="1"/>
  <c r="D21" i="4" s="1"/>
  <c r="E21" i="4" a="1"/>
  <c r="E21" i="4" s="1"/>
  <c r="F21" i="4" a="1"/>
  <c r="F21" i="4" s="1"/>
  <c r="G21" i="4" a="1"/>
  <c r="G21" i="4" s="1"/>
  <c r="H21" i="4" a="1"/>
  <c r="H21" i="4" s="1"/>
  <c r="I21" i="4" a="1"/>
  <c r="I21" i="4" s="1"/>
  <c r="J21" i="4" a="1"/>
  <c r="J21" i="4" s="1"/>
  <c r="K21" i="4" a="1"/>
  <c r="K21" i="4" s="1"/>
  <c r="L21" i="4" a="1"/>
  <c r="L21" i="4" s="1"/>
  <c r="M21" i="4"/>
  <c r="N21" i="4"/>
  <c r="O21" i="4"/>
  <c r="P21" i="4"/>
  <c r="Q21" i="4"/>
  <c r="R21" i="4"/>
  <c r="B22" i="4" a="1"/>
  <c r="B22" i="4" s="1"/>
  <c r="C22" i="4" a="1"/>
  <c r="C22" i="4" s="1"/>
  <c r="D22" i="4" a="1"/>
  <c r="D22" i="4" s="1"/>
  <c r="E22" i="4" a="1"/>
  <c r="E22" i="4" s="1"/>
  <c r="F22" i="4" a="1"/>
  <c r="F22" i="4" s="1"/>
  <c r="G22" i="4" a="1"/>
  <c r="G22" i="4" s="1"/>
  <c r="H22" i="4" a="1"/>
  <c r="H22" i="4" s="1"/>
  <c r="I22" i="4" a="1"/>
  <c r="I22" i="4" s="1"/>
  <c r="J22" i="4" a="1"/>
  <c r="J22" i="4" s="1"/>
  <c r="K22" i="4" a="1"/>
  <c r="K22" i="4" s="1"/>
  <c r="L22" i="4" a="1"/>
  <c r="L22" i="4" s="1"/>
  <c r="M22" i="4"/>
  <c r="N22" i="4"/>
  <c r="O22" i="4"/>
  <c r="P22" i="4"/>
  <c r="Q22" i="4"/>
  <c r="R22" i="4"/>
  <c r="B23" i="4" a="1"/>
  <c r="B23" i="4" s="1"/>
  <c r="C23" i="4" a="1"/>
  <c r="C23" i="4" s="1"/>
  <c r="D23" i="4" a="1"/>
  <c r="D23" i="4" s="1"/>
  <c r="E23" i="4" a="1"/>
  <c r="E23" i="4" s="1"/>
  <c r="F23" i="4" a="1"/>
  <c r="F23" i="4" s="1"/>
  <c r="G23" i="4" a="1"/>
  <c r="G23" i="4" s="1"/>
  <c r="H23" i="4" a="1"/>
  <c r="H23" i="4" s="1"/>
  <c r="I23" i="4" a="1"/>
  <c r="I23" i="4" s="1"/>
  <c r="J23" i="4" a="1"/>
  <c r="J23" i="4" s="1"/>
  <c r="K23" i="4" a="1"/>
  <c r="K23" i="4" s="1"/>
  <c r="L23" i="4" a="1"/>
  <c r="L23" i="4" s="1"/>
  <c r="M23" i="4"/>
  <c r="N23" i="4"/>
  <c r="O23" i="4"/>
  <c r="P23" i="4"/>
  <c r="Q23" i="4"/>
  <c r="R23" i="4"/>
  <c r="N3" i="4"/>
  <c r="O3" i="4"/>
  <c r="P3" i="4"/>
  <c r="Q3" i="4"/>
  <c r="R3" i="4"/>
  <c r="M3" i="4"/>
  <c r="L3" i="4" a="1"/>
  <c r="L3" i="4" s="1"/>
  <c r="C3" i="4" a="1"/>
  <c r="C3" i="4" s="1"/>
  <c r="D3" i="4" a="1"/>
  <c r="D3" i="4" s="1"/>
  <c r="E3" i="4" a="1"/>
  <c r="E3" i="4" s="1"/>
  <c r="F3" i="4" a="1"/>
  <c r="F3" i="4" s="1"/>
  <c r="G3" i="4" a="1"/>
  <c r="G3" i="4" s="1"/>
  <c r="H3" i="4" a="1"/>
  <c r="H3" i="4" s="1"/>
  <c r="I3" i="4" a="1"/>
  <c r="I3" i="4" s="1"/>
  <c r="J3" i="4" a="1"/>
  <c r="J3" i="4" s="1"/>
  <c r="K3" i="4" a="1"/>
  <c r="K3" i="4" s="1"/>
  <c r="B3" i="4" a="1"/>
  <c r="B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<sst xmlns="http://schemas.openxmlformats.org/spreadsheetml/2006/main" count="37" uniqueCount="25">
  <si>
    <t>driver</t>
  </si>
  <si>
    <t>id</t>
  </si>
  <si>
    <t>lc_2015</t>
  </si>
  <si>
    <t>lc_2016</t>
  </si>
  <si>
    <t>lc_2017</t>
  </si>
  <si>
    <t>lc_2018</t>
  </si>
  <si>
    <t>lc_2019</t>
  </si>
  <si>
    <t>lc_2020</t>
  </si>
  <si>
    <t>lc_2021</t>
  </si>
  <si>
    <t>lc_2022</t>
  </si>
  <si>
    <t>lc_2023</t>
  </si>
  <si>
    <t>lc_2024</t>
  </si>
  <si>
    <t xml:space="preserve">Expected result: </t>
  </si>
  <si>
    <t>tcl_year</t>
  </si>
  <si>
    <t>oil_palm</t>
  </si>
  <si>
    <t>sdpt_tree_crop</t>
  </si>
  <si>
    <t>sdpt_planted_forest</t>
  </si>
  <si>
    <t>gmw_mangrove</t>
  </si>
  <si>
    <t>gpw_cultiv_grass</t>
  </si>
  <si>
    <t>lc_20266</t>
  </si>
  <si>
    <t>lc_202628</t>
  </si>
  <si>
    <t>lc_20268</t>
  </si>
  <si>
    <t>lc_20269</t>
  </si>
  <si>
    <t>lc_20226</t>
  </si>
  <si>
    <t>lc_202626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</si>
</sst>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1" fillId="0" borderId="0" xfId="0" applyFont="1" applyAlignment="1"/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  <xf numFmtId="0" fontId="0" fillId="0" borderId="0" xfId="0" applyBorder="1"/>
    <xf numFmtId="0" fontId="1" fillId="0" borderId="0" xfId="0" applyFont="1" applyBorder="1" applyAlignment="1"/>
    <xf numFmtId="0" fontId="2" fillId="0" borderId="2" xfId="0" applyFont="1" applyBorder="1"/>
    <xf numFmtId="0" fontId="0" fillId="0" borderId="2" xfId="0" applyBorder="1"/>
    <xf numFmtId="0" fontId="1" fillId="0" borderId="2" xfId="0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5"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8ABE66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E38B"/>
      <color rgb="FF8ABE66"/>
      <color rgb="FF78B54F"/>
      <color rgb="FF8FC26C"/>
      <color rgb="FF91C3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P36" sqref="P36"/>
    </sheetView>
  </sheetViews>
  <sheetFormatPr defaultRowHeight="14.4" x14ac:dyDescent="0.3"/>
  <cols>
    <col min="1" max="1" width="8.88671875" style="5"/>
    <col min="12" max="14" width="8.88671875" customWidth="1"/>
    <col min="15" max="15" width="13.5546875" bestFit="1" customWidth="1"/>
    <col min="16" max="16" width="17.6640625" bestFit="1" customWidth="1"/>
    <col min="17" max="17" width="14.109375" bestFit="1" customWidth="1"/>
  </cols>
  <sheetData>
    <row r="1" spans="1:18" ht="18.600000000000001" customHeight="1" x14ac:dyDescent="0.3">
      <c r="A1" s="5" t="s">
        <v>1</v>
      </c>
      <c r="B1" s="1" t="s">
        <v>24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7</v>
      </c>
      <c r="H1" s="1" t="s">
        <v>23</v>
      </c>
      <c r="I1" s="1" t="s">
        <v>9</v>
      </c>
      <c r="J1" s="1" t="s">
        <v>23</v>
      </c>
      <c r="K1" s="1" t="s">
        <v>11</v>
      </c>
      <c r="L1" s="2" t="s">
        <v>0</v>
      </c>
      <c r="M1" t="s">
        <v>13</v>
      </c>
      <c r="N1" s="4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3">
      <c r="A2" s="5">
        <v>1</v>
      </c>
      <c r="B2">
        <v>26</v>
      </c>
      <c r="C2">
        <v>26</v>
      </c>
      <c r="D2">
        <v>26</v>
      </c>
      <c r="E2">
        <v>26</v>
      </c>
      <c r="F2">
        <v>26</v>
      </c>
      <c r="G2">
        <v>26</v>
      </c>
      <c r="H2">
        <v>26</v>
      </c>
      <c r="I2">
        <v>26</v>
      </c>
      <c r="J2">
        <v>26</v>
      </c>
      <c r="K2">
        <v>26</v>
      </c>
      <c r="N2" t="b">
        <v>1</v>
      </c>
    </row>
    <row r="3" spans="1:18" x14ac:dyDescent="0.3">
      <c r="A3" s="5">
        <v>2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O3" t="b">
        <v>1</v>
      </c>
    </row>
    <row r="4" spans="1:18" x14ac:dyDescent="0.3">
      <c r="A4" s="5">
        <v>3</v>
      </c>
      <c r="B4">
        <v>26</v>
      </c>
      <c r="C4">
        <v>26</v>
      </c>
      <c r="D4">
        <v>26</v>
      </c>
      <c r="E4">
        <v>26</v>
      </c>
      <c r="F4">
        <v>26</v>
      </c>
      <c r="G4">
        <v>26</v>
      </c>
      <c r="H4">
        <v>26</v>
      </c>
      <c r="I4">
        <v>26</v>
      </c>
      <c r="J4">
        <v>26</v>
      </c>
      <c r="K4">
        <v>26</v>
      </c>
      <c r="P4" t="b">
        <v>1</v>
      </c>
      <c r="Q4" t="b">
        <v>1</v>
      </c>
    </row>
    <row r="5" spans="1:18" x14ac:dyDescent="0.3">
      <c r="A5" s="5">
        <v>4</v>
      </c>
      <c r="B5">
        <v>26</v>
      </c>
      <c r="C5">
        <v>26</v>
      </c>
      <c r="D5">
        <v>26</v>
      </c>
      <c r="E5">
        <v>26</v>
      </c>
      <c r="F5">
        <v>26</v>
      </c>
      <c r="G5">
        <v>26</v>
      </c>
      <c r="H5">
        <v>26</v>
      </c>
      <c r="I5">
        <v>26</v>
      </c>
      <c r="J5">
        <v>26</v>
      </c>
      <c r="K5">
        <v>26</v>
      </c>
      <c r="L5">
        <v>1</v>
      </c>
      <c r="M5">
        <v>2015</v>
      </c>
    </row>
    <row r="6" spans="1:18" x14ac:dyDescent="0.3">
      <c r="A6" s="5">
        <v>5</v>
      </c>
      <c r="B6">
        <v>26</v>
      </c>
      <c r="C6">
        <v>26</v>
      </c>
      <c r="D6">
        <v>26</v>
      </c>
      <c r="E6">
        <v>26</v>
      </c>
      <c r="F6">
        <v>26</v>
      </c>
      <c r="G6">
        <v>26</v>
      </c>
      <c r="H6">
        <v>26</v>
      </c>
      <c r="I6">
        <v>26</v>
      </c>
      <c r="J6">
        <v>26</v>
      </c>
      <c r="K6">
        <v>26</v>
      </c>
      <c r="L6">
        <v>1</v>
      </c>
      <c r="M6">
        <v>2015</v>
      </c>
      <c r="R6" t="b">
        <v>1</v>
      </c>
    </row>
    <row r="7" spans="1:18" x14ac:dyDescent="0.3">
      <c r="A7" s="5">
        <v>6</v>
      </c>
      <c r="B7">
        <v>26</v>
      </c>
      <c r="C7">
        <v>26</v>
      </c>
      <c r="D7">
        <v>26</v>
      </c>
      <c r="E7">
        <v>26</v>
      </c>
      <c r="F7">
        <v>26</v>
      </c>
      <c r="G7">
        <v>26</v>
      </c>
      <c r="H7">
        <v>26</v>
      </c>
      <c r="I7">
        <v>26</v>
      </c>
      <c r="J7">
        <v>26</v>
      </c>
      <c r="K7">
        <v>26</v>
      </c>
      <c r="L7">
        <v>1</v>
      </c>
      <c r="M7">
        <v>2020</v>
      </c>
    </row>
    <row r="8" spans="1:18" x14ac:dyDescent="0.3">
      <c r="A8" s="5">
        <v>7</v>
      </c>
      <c r="B8">
        <v>26</v>
      </c>
      <c r="C8">
        <v>26</v>
      </c>
      <c r="D8">
        <v>26</v>
      </c>
      <c r="E8">
        <v>26</v>
      </c>
      <c r="F8">
        <v>26</v>
      </c>
      <c r="G8">
        <v>26</v>
      </c>
      <c r="H8">
        <v>26</v>
      </c>
      <c r="I8">
        <v>26</v>
      </c>
      <c r="J8">
        <v>26</v>
      </c>
      <c r="K8">
        <v>26</v>
      </c>
      <c r="L8">
        <v>1</v>
      </c>
      <c r="M8">
        <v>2020</v>
      </c>
      <c r="R8" t="b">
        <v>1</v>
      </c>
    </row>
    <row r="9" spans="1:18" x14ac:dyDescent="0.3">
      <c r="A9" s="5">
        <v>8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  <c r="H9">
        <v>26</v>
      </c>
      <c r="I9">
        <v>26</v>
      </c>
      <c r="J9">
        <v>26</v>
      </c>
      <c r="K9">
        <v>26</v>
      </c>
      <c r="L9">
        <v>3</v>
      </c>
      <c r="M9">
        <v>2015</v>
      </c>
    </row>
    <row r="10" spans="1:18" x14ac:dyDescent="0.3">
      <c r="A10" s="5">
        <v>9</v>
      </c>
      <c r="B10">
        <v>26</v>
      </c>
      <c r="C10">
        <v>26</v>
      </c>
      <c r="D10">
        <v>26</v>
      </c>
      <c r="E10">
        <v>26</v>
      </c>
      <c r="F10">
        <v>26</v>
      </c>
      <c r="G10">
        <v>26</v>
      </c>
      <c r="H10">
        <v>26</v>
      </c>
      <c r="I10">
        <v>26</v>
      </c>
      <c r="J10">
        <v>26</v>
      </c>
      <c r="K10">
        <v>26</v>
      </c>
      <c r="L10">
        <v>4</v>
      </c>
      <c r="M10">
        <v>2015</v>
      </c>
    </row>
    <row r="11" spans="1:18" x14ac:dyDescent="0.3">
      <c r="A11" s="5">
        <v>10</v>
      </c>
      <c r="B11">
        <v>26</v>
      </c>
      <c r="C11">
        <v>26</v>
      </c>
      <c r="D11">
        <v>26</v>
      </c>
      <c r="E11">
        <v>26</v>
      </c>
      <c r="F11">
        <v>26</v>
      </c>
      <c r="G11">
        <v>26</v>
      </c>
      <c r="H11">
        <v>26</v>
      </c>
      <c r="I11">
        <v>26</v>
      </c>
      <c r="J11">
        <v>26</v>
      </c>
      <c r="K11">
        <v>26</v>
      </c>
      <c r="L11">
        <v>5</v>
      </c>
      <c r="M11">
        <v>2015</v>
      </c>
    </row>
    <row r="12" spans="1:18" x14ac:dyDescent="0.3">
      <c r="A12" s="5">
        <v>11</v>
      </c>
      <c r="B12">
        <v>26</v>
      </c>
      <c r="C12">
        <v>26</v>
      </c>
      <c r="D12">
        <v>26</v>
      </c>
      <c r="E12">
        <v>26</v>
      </c>
      <c r="F12">
        <v>26</v>
      </c>
      <c r="G12">
        <v>26</v>
      </c>
      <c r="H12">
        <v>26</v>
      </c>
      <c r="I12">
        <v>26</v>
      </c>
      <c r="J12">
        <v>26</v>
      </c>
      <c r="K12">
        <v>26</v>
      </c>
      <c r="L12">
        <v>7</v>
      </c>
      <c r="M12">
        <v>2015</v>
      </c>
    </row>
    <row r="13" spans="1:18" x14ac:dyDescent="0.3">
      <c r="A13" s="5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3</v>
      </c>
      <c r="M13">
        <v>2020</v>
      </c>
    </row>
    <row r="14" spans="1:18" x14ac:dyDescent="0.3">
      <c r="A14" s="5">
        <v>13</v>
      </c>
      <c r="B14">
        <v>26</v>
      </c>
      <c r="C14">
        <v>26</v>
      </c>
      <c r="D14">
        <v>26</v>
      </c>
      <c r="E14">
        <v>26</v>
      </c>
      <c r="F14">
        <v>26</v>
      </c>
      <c r="G14">
        <v>26</v>
      </c>
      <c r="H14">
        <v>26</v>
      </c>
      <c r="I14">
        <v>26</v>
      </c>
      <c r="J14">
        <v>26</v>
      </c>
      <c r="K14">
        <v>26</v>
      </c>
      <c r="L14">
        <v>4</v>
      </c>
      <c r="M14">
        <v>2020</v>
      </c>
    </row>
    <row r="15" spans="1:18" x14ac:dyDescent="0.3">
      <c r="A15" s="5">
        <v>14</v>
      </c>
      <c r="B15">
        <v>26</v>
      </c>
      <c r="C15">
        <v>26</v>
      </c>
      <c r="D15">
        <v>26</v>
      </c>
      <c r="E15">
        <v>26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26</v>
      </c>
      <c r="L15">
        <v>5</v>
      </c>
      <c r="M15">
        <v>2020</v>
      </c>
    </row>
    <row r="16" spans="1:18" x14ac:dyDescent="0.3">
      <c r="A16" s="5">
        <v>15</v>
      </c>
      <c r="B16">
        <v>26</v>
      </c>
      <c r="C16">
        <v>26</v>
      </c>
      <c r="D16">
        <v>26</v>
      </c>
      <c r="E16">
        <v>26</v>
      </c>
      <c r="F16">
        <v>26</v>
      </c>
      <c r="G16">
        <v>26</v>
      </c>
      <c r="H16">
        <v>26</v>
      </c>
      <c r="I16">
        <v>26</v>
      </c>
      <c r="J16">
        <v>26</v>
      </c>
      <c r="K16">
        <v>26</v>
      </c>
      <c r="L16">
        <v>7</v>
      </c>
      <c r="M16">
        <v>2020</v>
      </c>
    </row>
    <row r="17" spans="1:15" x14ac:dyDescent="0.3">
      <c r="A17" s="5">
        <v>16</v>
      </c>
      <c r="B17" s="1">
        <v>28</v>
      </c>
      <c r="C17" s="1">
        <v>28</v>
      </c>
      <c r="D17" s="1">
        <v>28</v>
      </c>
      <c r="E17" s="1">
        <v>28</v>
      </c>
      <c r="F17" s="1">
        <v>28</v>
      </c>
      <c r="G17" s="1">
        <v>28</v>
      </c>
      <c r="H17" s="1">
        <v>28</v>
      </c>
      <c r="I17" s="1">
        <v>28</v>
      </c>
      <c r="J17" s="1">
        <v>28</v>
      </c>
      <c r="K17" s="1">
        <v>28</v>
      </c>
      <c r="L17" s="3"/>
    </row>
    <row r="18" spans="1:15" x14ac:dyDescent="0.3">
      <c r="A18" s="5">
        <v>17</v>
      </c>
      <c r="B18" s="1">
        <v>28</v>
      </c>
      <c r="C18" s="1">
        <v>28</v>
      </c>
      <c r="D18" s="1">
        <v>28</v>
      </c>
      <c r="E18" s="1">
        <v>28</v>
      </c>
      <c r="F18" s="1">
        <v>28</v>
      </c>
      <c r="G18" s="1">
        <v>28</v>
      </c>
      <c r="H18" s="1">
        <v>28</v>
      </c>
      <c r="I18" s="1">
        <v>28</v>
      </c>
      <c r="J18" s="1">
        <v>28</v>
      </c>
      <c r="K18" s="1">
        <v>28</v>
      </c>
      <c r="L18" s="3"/>
      <c r="M18">
        <v>2015</v>
      </c>
      <c r="N18" t="b">
        <v>1</v>
      </c>
    </row>
    <row r="19" spans="1:15" x14ac:dyDescent="0.3">
      <c r="A19" s="5">
        <v>18</v>
      </c>
      <c r="B19" s="1">
        <v>28</v>
      </c>
      <c r="C19" s="1">
        <v>28</v>
      </c>
      <c r="D19" s="1">
        <v>28</v>
      </c>
      <c r="E19" s="1">
        <v>28</v>
      </c>
      <c r="F19" s="1">
        <v>28</v>
      </c>
      <c r="G19" s="1">
        <v>28</v>
      </c>
      <c r="H19" s="1">
        <v>28</v>
      </c>
      <c r="I19" s="1">
        <v>28</v>
      </c>
      <c r="J19" s="1">
        <v>28</v>
      </c>
      <c r="K19" s="1">
        <v>28</v>
      </c>
      <c r="M19">
        <v>2015</v>
      </c>
      <c r="O19" t="b">
        <v>1</v>
      </c>
    </row>
    <row r="20" spans="1:15" x14ac:dyDescent="0.3">
      <c r="A20" s="5">
        <v>19</v>
      </c>
      <c r="B20" s="1">
        <v>28</v>
      </c>
      <c r="C20" s="1">
        <v>28</v>
      </c>
      <c r="D20" s="1">
        <v>28</v>
      </c>
      <c r="E20" s="1">
        <v>28</v>
      </c>
      <c r="F20" s="1">
        <v>28</v>
      </c>
      <c r="G20" s="1">
        <v>28</v>
      </c>
      <c r="H20" s="1">
        <v>28</v>
      </c>
      <c r="I20" s="1">
        <v>28</v>
      </c>
      <c r="J20" s="1">
        <v>28</v>
      </c>
      <c r="K20" s="1">
        <v>28</v>
      </c>
      <c r="L20" s="3"/>
      <c r="M20">
        <v>2020</v>
      </c>
      <c r="N20" t="b">
        <v>1</v>
      </c>
    </row>
    <row r="21" spans="1:15" x14ac:dyDescent="0.3">
      <c r="A21" s="5">
        <v>20</v>
      </c>
      <c r="B21" s="1">
        <v>28</v>
      </c>
      <c r="C21" s="1">
        <v>28</v>
      </c>
      <c r="D21" s="1">
        <v>28</v>
      </c>
      <c r="E21" s="1">
        <v>28</v>
      </c>
      <c r="F21" s="1">
        <v>28</v>
      </c>
      <c r="G21" s="1">
        <v>28</v>
      </c>
      <c r="H21" s="1">
        <v>28</v>
      </c>
      <c r="I21" s="1">
        <v>28</v>
      </c>
      <c r="J21" s="1">
        <v>28</v>
      </c>
      <c r="K21" s="1">
        <v>28</v>
      </c>
      <c r="L21" s="3"/>
      <c r="M21">
        <v>2020</v>
      </c>
      <c r="O21" t="b">
        <v>1</v>
      </c>
    </row>
    <row r="22" spans="1:15" ht="16.5" customHeight="1" x14ac:dyDescent="0.3">
      <c r="A22" s="5">
        <v>21</v>
      </c>
      <c r="B22" s="1">
        <v>26</v>
      </c>
      <c r="C22" s="1">
        <v>26</v>
      </c>
      <c r="D22" s="1">
        <v>26</v>
      </c>
      <c r="E22" s="1">
        <v>26</v>
      </c>
      <c r="F22" s="1">
        <v>26</v>
      </c>
      <c r="G22" s="1">
        <v>26</v>
      </c>
      <c r="H22" s="1">
        <v>26</v>
      </c>
      <c r="I22" s="1">
        <v>26</v>
      </c>
      <c r="J22" s="1">
        <v>26</v>
      </c>
      <c r="K22" s="1">
        <v>26</v>
      </c>
      <c r="L22" s="3"/>
    </row>
    <row r="23" spans="1:15" ht="16.5" customHeight="1" x14ac:dyDescent="0.3">
      <c r="A23" s="5">
        <v>22</v>
      </c>
      <c r="B23" s="1">
        <v>28</v>
      </c>
      <c r="C23" s="1">
        <v>28</v>
      </c>
      <c r="D23" s="1">
        <v>28</v>
      </c>
      <c r="E23" s="1">
        <v>28</v>
      </c>
      <c r="F23" s="1">
        <v>28</v>
      </c>
      <c r="G23" s="1">
        <v>28</v>
      </c>
      <c r="H23" s="1">
        <v>28</v>
      </c>
      <c r="I23" s="1">
        <v>26</v>
      </c>
      <c r="J23" s="1">
        <v>26</v>
      </c>
      <c r="K23" s="1">
        <v>26</v>
      </c>
      <c r="L23" s="4"/>
    </row>
    <row r="24" spans="1:15" ht="16.5" customHeight="1" x14ac:dyDescent="0.3">
      <c r="A24" s="5">
        <v>23</v>
      </c>
      <c r="B24" s="1">
        <v>28</v>
      </c>
      <c r="C24" s="1">
        <v>28</v>
      </c>
      <c r="D24" s="1">
        <v>28</v>
      </c>
      <c r="E24" s="1">
        <v>28</v>
      </c>
      <c r="F24" s="1">
        <v>28</v>
      </c>
      <c r="G24" s="1">
        <v>28</v>
      </c>
      <c r="H24" s="1">
        <v>28</v>
      </c>
      <c r="I24" s="1">
        <v>26</v>
      </c>
      <c r="J24" s="1">
        <v>26</v>
      </c>
      <c r="K24" s="1">
        <v>26</v>
      </c>
      <c r="L24" s="4">
        <v>3</v>
      </c>
      <c r="M24" s="1">
        <v>2021</v>
      </c>
    </row>
    <row r="25" spans="1:15" ht="16.5" customHeight="1" x14ac:dyDescent="0.3">
      <c r="A25" s="5">
        <v>24</v>
      </c>
      <c r="B25" s="1">
        <v>28</v>
      </c>
      <c r="C25" s="1">
        <v>28</v>
      </c>
      <c r="D25" s="1">
        <v>28</v>
      </c>
      <c r="E25" s="1">
        <v>28</v>
      </c>
      <c r="F25" s="1">
        <v>28</v>
      </c>
      <c r="G25" s="1">
        <v>28</v>
      </c>
      <c r="H25" s="1">
        <v>28</v>
      </c>
      <c r="I25" s="1">
        <v>244</v>
      </c>
      <c r="J25" s="1">
        <v>244</v>
      </c>
      <c r="K25" s="1">
        <v>244</v>
      </c>
      <c r="L25" s="4"/>
    </row>
    <row r="26" spans="1:15" ht="16.5" customHeight="1" x14ac:dyDescent="0.3">
      <c r="A26" s="5">
        <v>25</v>
      </c>
      <c r="B26" s="1">
        <v>28</v>
      </c>
      <c r="C26" s="1">
        <v>28</v>
      </c>
      <c r="D26" s="1">
        <v>28</v>
      </c>
      <c r="E26" s="1">
        <v>28</v>
      </c>
      <c r="F26" s="1">
        <v>28</v>
      </c>
      <c r="G26" s="1">
        <v>28</v>
      </c>
      <c r="H26" s="1">
        <v>28</v>
      </c>
      <c r="I26" s="1">
        <v>244</v>
      </c>
      <c r="J26" s="1">
        <v>244</v>
      </c>
      <c r="K26" s="1">
        <v>244</v>
      </c>
      <c r="L26" s="4">
        <v>3</v>
      </c>
      <c r="M26" s="1">
        <v>2021</v>
      </c>
    </row>
    <row r="27" spans="1:15" x14ac:dyDescent="0.3">
      <c r="A27" s="5">
        <v>26</v>
      </c>
      <c r="B27" s="1">
        <v>28</v>
      </c>
      <c r="C27" s="1">
        <v>28</v>
      </c>
      <c r="D27" s="1">
        <v>28</v>
      </c>
      <c r="E27" s="1">
        <v>26</v>
      </c>
      <c r="F27" s="1">
        <v>28</v>
      </c>
      <c r="G27" s="1">
        <v>28</v>
      </c>
      <c r="H27" s="1">
        <v>28</v>
      </c>
      <c r="I27" s="1">
        <v>26</v>
      </c>
      <c r="J27" s="1">
        <v>26</v>
      </c>
      <c r="K27" s="1">
        <v>26</v>
      </c>
      <c r="L27" s="4"/>
    </row>
    <row r="28" spans="1:1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</row>
    <row r="29" spans="1:15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</row>
    <row r="30" spans="1:1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</row>
    <row r="31" spans="1:1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1"/>
      <c r="N31" s="1"/>
    </row>
    <row r="32" spans="1:15" x14ac:dyDescent="0.3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73A-BF21-4771-A2AF-1B9A394A8B1D}">
  <dimension ref="A1:W66"/>
  <sheetViews>
    <sheetView topLeftCell="A2" zoomScale="162" zoomScaleNormal="162" workbookViewId="0">
      <selection activeCell="M15" sqref="M15"/>
    </sheetView>
  </sheetViews>
  <sheetFormatPr defaultRowHeight="14.4" x14ac:dyDescent="0.3"/>
  <cols>
    <col min="12" max="12" width="20.5546875" bestFit="1" customWidth="1"/>
    <col min="13" max="13" width="7.5546875" bestFit="1" customWidth="1"/>
    <col min="14" max="14" width="7.77734375" bestFit="1" customWidth="1"/>
    <col min="15" max="15" width="13.77734375" bestFit="1" customWidth="1"/>
    <col min="16" max="16" width="18.109375" bestFit="1" customWidth="1"/>
    <col min="17" max="17" width="14.33203125" bestFit="1" customWidth="1"/>
    <col min="18" max="18" width="15.21875" bestFit="1" customWidth="1"/>
    <col min="22" max="22" width="31.109375" customWidth="1"/>
  </cols>
  <sheetData>
    <row r="1" spans="1:23" hidden="1" x14ac:dyDescent="0.3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3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0</v>
      </c>
      <c r="M2" t="s">
        <v>13</v>
      </c>
      <c r="N2" s="4" t="s">
        <v>14</v>
      </c>
      <c r="O2" t="s">
        <v>15</v>
      </c>
      <c r="P2" t="s">
        <v>16</v>
      </c>
      <c r="Q2" t="s">
        <v>17</v>
      </c>
      <c r="R2" t="s">
        <v>18</v>
      </c>
      <c r="T2" t="s">
        <v>12</v>
      </c>
    </row>
    <row r="3" spans="1:23" x14ac:dyDescent="0.3">
      <c r="A3" s="5">
        <v>1</v>
      </c>
      <c r="B3" t="str" cm="1">
        <f t="array" ref="B3">_xlfn.LET(_xlpm.x, VLOOKUP($A3,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3" t="str" cm="1">
        <f t="array" ref="C3">_xlfn.LET(_xlpm.x, VLOOKUP($A3,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3" t="str" cm="1">
        <f t="array" ref="D3">_xlfn.LET(_xlpm.x, VLOOKUP($A3,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3" t="str" cm="1">
        <f t="array" ref="E3">_xlfn.LET(_xlpm.x, VLOOKUP($A3,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3" t="str" cm="1">
        <f t="array" ref="F3">_xlfn.LET(_xlpm.x, VLOOKUP($A3,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3" t="str" cm="1">
        <f t="array" ref="G3">_xlfn.LET(_xlpm.x, VLOOKUP($A3,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3" t="str" cm="1">
        <f t="array" ref="H3">_xlfn.LET(_xlpm.x, VLOOKUP($A3,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3" t="str" cm="1">
        <f t="array" ref="I3">_xlfn.LET(_xlpm.x, VLOOKUP($A3,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3" t="str" cm="1">
        <f t="array" ref="J3">_xlfn.LET(_xlpm.x, VLOOKUP($A3,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3" t="str" cm="1">
        <f t="array" ref="K3">_xlfn.LET(_xlpm.x, VLOOKUP($A3,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3" t="str" cm="1">
        <f t="array" ref="L3">IFERROR(_xlfn.SWITCH(VLOOKUP($A3, scenarios!$A$2:$P$109, L$1, 0), 1, "Permanent agriculture", 2, "Hard commodities", 3, "Shifting cultivation", 4, "Logging", 5, "Wildfire", 6, "Settlements &amp; infrastructure", 7, "Other natural disturbances"), "")</f>
        <v/>
      </c>
      <c r="M3" t="str">
        <f>_xlfn.LET(_xlpm.x, scenarios!M2, IF(OR(ISERROR(_xlpm.x), _xlpm.x=0), "", _xlpm.x))</f>
        <v/>
      </c>
      <c r="N3" t="b">
        <f>_xlfn.LET(_xlpm.x, scenarios!N2, IF(OR(ISERROR(_xlpm.x), _xlpm.x=0), "", _xlpm.x))</f>
        <v>1</v>
      </c>
      <c r="O3" t="str">
        <f>_xlfn.LET(_xlpm.x, scenarios!O2, IF(OR(ISERROR(_xlpm.x), _xlpm.x=0), "", _xlpm.x))</f>
        <v/>
      </c>
      <c r="P3" t="str">
        <f>_xlfn.LET(_xlpm.x, scenarios!P2, IF(OR(ISERROR(_xlpm.x), _xlpm.x=0), "", _xlpm.x))</f>
        <v/>
      </c>
      <c r="Q3" t="str">
        <f>_xlfn.LET(_xlpm.x, scenarios!Q2, IF(OR(ISERROR(_xlpm.x), _xlpm.x=0), "", _xlpm.x))</f>
        <v/>
      </c>
      <c r="R3" t="str">
        <f>_xlfn.LET(_xlpm.x, scenarios!R2, IF(OR(ISERROR(_xlpm.x), _xlpm.x=0), "", _xlpm.x))</f>
        <v/>
      </c>
    </row>
    <row r="4" spans="1:23" x14ac:dyDescent="0.3">
      <c r="A4" s="5">
        <v>2</v>
      </c>
      <c r="B4" t="str" cm="1">
        <f t="array" ref="B4">_xlfn.LET(_xlpm.x, VLOOKUP($A4,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4" t="str" cm="1">
        <f t="array" ref="C4">_xlfn.LET(_xlpm.x, VLOOKUP($A4,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4" t="str" cm="1">
        <f t="array" ref="D4">_xlfn.LET(_xlpm.x, VLOOKUP($A4,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4" t="str" cm="1">
        <f t="array" ref="E4">_xlfn.LET(_xlpm.x, VLOOKUP($A4,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4" t="str" cm="1">
        <f t="array" ref="F4">_xlfn.LET(_xlpm.x, VLOOKUP($A4,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4" t="str" cm="1">
        <f t="array" ref="G4">_xlfn.LET(_xlpm.x, VLOOKUP($A4,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4" t="str" cm="1">
        <f t="array" ref="H4">_xlfn.LET(_xlpm.x, VLOOKUP($A4,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4" t="str" cm="1">
        <f t="array" ref="I4">_xlfn.LET(_xlpm.x, VLOOKUP($A4,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4" t="str" cm="1">
        <f t="array" ref="J4">_xlfn.LET(_xlpm.x, VLOOKUP($A4,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4" t="str" cm="1">
        <f t="array" ref="K4">_xlfn.LET(_xlpm.x, VLOOKUP($A4,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4" t="str" cm="1">
        <f t="array" ref="L4">IFERROR(_xlfn.SWITCH(VLOOKUP($A4, scenarios!$A$2:$P$109, L$1, 0), 1, "Permanent agriculture", 2, "Hard commodities", 3, "Shifting cultivation", 4, "Logging", 5, "Wildfire", 6, "Settlements &amp; infrastructure", 7, "Other natural disturbances"), "")</f>
        <v/>
      </c>
      <c r="M4" t="str">
        <f>_xlfn.LET(_xlpm.x, scenarios!M3, IF(OR(ISERROR(_xlpm.x), _xlpm.x=0), "", _xlpm.x))</f>
        <v/>
      </c>
      <c r="N4" t="str">
        <f>_xlfn.LET(_xlpm.x, scenarios!N3, IF(OR(ISERROR(_xlpm.x), _xlpm.x=0), "", _xlpm.x))</f>
        <v/>
      </c>
      <c r="O4" t="b">
        <f>_xlfn.LET(_xlpm.x, scenarios!O3, IF(OR(ISERROR(_xlpm.x), _xlpm.x=0), "", _xlpm.x))</f>
        <v>1</v>
      </c>
      <c r="P4" t="str">
        <f>_xlfn.LET(_xlpm.x, scenarios!P3, IF(OR(ISERROR(_xlpm.x), _xlpm.x=0), "", _xlpm.x))</f>
        <v/>
      </c>
      <c r="Q4" t="str">
        <f>_xlfn.LET(_xlpm.x, scenarios!Q3, IF(OR(ISERROR(_xlpm.x), _xlpm.x=0), "", _xlpm.x))</f>
        <v/>
      </c>
      <c r="R4" t="str">
        <f>_xlfn.LET(_xlpm.x, scenarios!R3, IF(OR(ISERROR(_xlpm.x), _xlpm.x=0), "", _xlpm.x))</f>
        <v/>
      </c>
    </row>
    <row r="5" spans="1:23" x14ac:dyDescent="0.3">
      <c r="A5" s="5">
        <v>3</v>
      </c>
      <c r="B5" t="str" cm="1">
        <f t="array" ref="B5">_xlfn.LET(_xlpm.x, VLOOKUP($A5,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5" t="str" cm="1">
        <f t="array" ref="C5">_xlfn.LET(_xlpm.x, VLOOKUP($A5,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5" t="str" cm="1">
        <f t="array" ref="D5">_xlfn.LET(_xlpm.x, VLOOKUP($A5,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5" t="str" cm="1">
        <f t="array" ref="E5">_xlfn.LET(_xlpm.x, VLOOKUP($A5,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5" t="str" cm="1">
        <f t="array" ref="F5">_xlfn.LET(_xlpm.x, VLOOKUP($A5,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5" t="str" cm="1">
        <f t="array" ref="G5">_xlfn.LET(_xlpm.x, VLOOKUP($A5,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5" t="str" cm="1">
        <f t="array" ref="H5">_xlfn.LET(_xlpm.x, VLOOKUP($A5,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5" t="str" cm="1">
        <f t="array" ref="I5">_xlfn.LET(_xlpm.x, VLOOKUP($A5,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5" t="str" cm="1">
        <f t="array" ref="J5">_xlfn.LET(_xlpm.x, VLOOKUP($A5,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5" t="str" cm="1">
        <f t="array" ref="K5">_xlfn.LET(_xlpm.x, VLOOKUP($A5,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5" t="str" cm="1">
        <f t="array" ref="L5">IFERROR(_xlfn.SWITCH(VLOOKUP($A5, scenarios!$A$2:$P$109, L$1, 0), 1, "Permanent agriculture", 2, "Hard commodities", 3, "Shifting cultivation", 4, "Logging", 5, "Wildfire", 6, "Settlements &amp; infrastructure", 7, "Other natural disturbances"), "")</f>
        <v/>
      </c>
      <c r="M5" t="str">
        <f>_xlfn.LET(_xlpm.x, scenarios!M4, IF(OR(ISERROR(_xlpm.x), _xlpm.x=0), "", _xlpm.x))</f>
        <v/>
      </c>
      <c r="N5" t="str">
        <f>_xlfn.LET(_xlpm.x, scenarios!N4, IF(OR(ISERROR(_xlpm.x), _xlpm.x=0), "", _xlpm.x))</f>
        <v/>
      </c>
      <c r="O5" t="str">
        <f>_xlfn.LET(_xlpm.x, scenarios!O4, IF(OR(ISERROR(_xlpm.x), _xlpm.x=0), "", _xlpm.x))</f>
        <v/>
      </c>
      <c r="P5" t="b">
        <f>_xlfn.LET(_xlpm.x, scenarios!P4, IF(OR(ISERROR(_xlpm.x), _xlpm.x=0), "", _xlpm.x))</f>
        <v>1</v>
      </c>
      <c r="Q5" t="b">
        <f>_xlfn.LET(_xlpm.x, scenarios!Q4, IF(OR(ISERROR(_xlpm.x), _xlpm.x=0), "", _xlpm.x))</f>
        <v>1</v>
      </c>
      <c r="R5" t="str">
        <f>_xlfn.LET(_xlpm.x, scenarios!R4, IF(OR(ISERROR(_xlpm.x), _xlpm.x=0), "", _xlpm.x))</f>
        <v/>
      </c>
    </row>
    <row r="6" spans="1:23" s="8" customFormat="1" x14ac:dyDescent="0.3">
      <c r="A6" s="7">
        <v>4</v>
      </c>
      <c r="B6" s="8" t="str" cm="1">
        <f t="array" ref="B6">_xlfn.LET(_xlpm.x, VLOOKUP($A6,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6" s="8" t="str" cm="1">
        <f t="array" ref="C6">_xlfn.LET(_xlpm.x, VLOOKUP($A6,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6" s="8" t="str" cm="1">
        <f t="array" ref="D6">_xlfn.LET(_xlpm.x, VLOOKUP($A6,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6" s="8" t="str" cm="1">
        <f t="array" ref="E6">_xlfn.LET(_xlpm.x, VLOOKUP($A6,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6" s="8" t="str" cm="1">
        <f t="array" ref="F6">_xlfn.LET(_xlpm.x, VLOOKUP($A6,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6" s="8" t="str" cm="1">
        <f t="array" ref="G6">_xlfn.LET(_xlpm.x, VLOOKUP($A6,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6" s="8" t="str" cm="1">
        <f t="array" ref="H6">_xlfn.LET(_xlpm.x, VLOOKUP($A6,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6" s="8" t="str" cm="1">
        <f t="array" ref="I6">_xlfn.LET(_xlpm.x, VLOOKUP($A6,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6" s="8" t="str" cm="1">
        <f t="array" ref="J6">_xlfn.LET(_xlpm.x, VLOOKUP($A6,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6" s="8" t="str" cm="1">
        <f t="array" ref="K6">_xlfn.LET(_xlpm.x, VLOOKUP($A6,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6" s="8" t="str" cm="1">
        <f t="array" ref="L6">IFERROR(_xlfn.SWITCH(VLOOKUP($A6, scenarios!$A$2:$P$109, L$1, 0), 1, "Permanent agriculture", 2, "Hard commodities", 3, "Shifting cultivation", 4, "Logging", 5, "Wildfire", 6, "Settlements &amp; infrastructure", 7, "Other natural disturbances"), "")</f>
        <v>Permanent agriculture</v>
      </c>
      <c r="M6" s="8">
        <f>_xlfn.LET(_xlpm.x, scenarios!M5, IF(OR(ISERROR(_xlpm.x), _xlpm.x=0), "", _xlpm.x))</f>
        <v>2015</v>
      </c>
      <c r="N6" s="8" t="str">
        <f>_xlfn.LET(_xlpm.x, scenarios!N5, IF(OR(ISERROR(_xlpm.x), _xlpm.x=0), "", _xlpm.x))</f>
        <v/>
      </c>
      <c r="O6" s="8" t="str">
        <f>_xlfn.LET(_xlpm.x, scenarios!O5, IF(OR(ISERROR(_xlpm.x), _xlpm.x=0), "", _xlpm.x))</f>
        <v/>
      </c>
      <c r="P6" s="8" t="str">
        <f>_xlfn.LET(_xlpm.x, scenarios!P5, IF(OR(ISERROR(_xlpm.x), _xlpm.x=0), "", _xlpm.x))</f>
        <v/>
      </c>
      <c r="Q6" s="8" t="str">
        <f>_xlfn.LET(_xlpm.x, scenarios!Q5, IF(OR(ISERROR(_xlpm.x), _xlpm.x=0), "", _xlpm.x))</f>
        <v/>
      </c>
      <c r="R6" s="8" t="str">
        <f>_xlfn.LET(_xlpm.x, scenarios!R5, IF(OR(ISERROR(_xlpm.x), _xlpm.x=0), "", _xlpm.x))</f>
        <v/>
      </c>
    </row>
    <row r="7" spans="1:23" s="10" customFormat="1" x14ac:dyDescent="0.3">
      <c r="A7" s="9">
        <v>5</v>
      </c>
      <c r="B7" s="10" t="str" cm="1">
        <f t="array" ref="B7">_xlfn.LET(_xlpm.x, VLOOKUP($A7,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7" s="10" t="str" cm="1">
        <f t="array" ref="C7">_xlfn.LET(_xlpm.x, VLOOKUP($A7,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7" s="10" t="str" cm="1">
        <f t="array" ref="D7">_xlfn.LET(_xlpm.x, VLOOKUP($A7,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7" s="10" t="str" cm="1">
        <f t="array" ref="E7">_xlfn.LET(_xlpm.x, VLOOKUP($A7,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7" s="10" t="str" cm="1">
        <f t="array" ref="F7">_xlfn.LET(_xlpm.x, VLOOKUP($A7,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7" s="10" t="str" cm="1">
        <f t="array" ref="G7">_xlfn.LET(_xlpm.x, VLOOKUP($A7,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7" s="10" t="str" cm="1">
        <f t="array" ref="H7">_xlfn.LET(_xlpm.x, VLOOKUP($A7,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7" s="10" t="str" cm="1">
        <f t="array" ref="I7">_xlfn.LET(_xlpm.x, VLOOKUP($A7,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7" s="10" t="str" cm="1">
        <f t="array" ref="J7">_xlfn.LET(_xlpm.x, VLOOKUP($A7,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7" s="10" t="str" cm="1">
        <f t="array" ref="K7">_xlfn.LET(_xlpm.x, VLOOKUP($A7,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7" s="10" t="str" cm="1">
        <f t="array" ref="L7">IFERROR(_xlfn.SWITCH(VLOOKUP($A7, scenarios!$A$2:$P$109, L$1, 0), 1, "Permanent agriculture", 2, "Hard commodities", 3, "Shifting cultivation", 4, "Logging", 5, "Wildfire", 6, "Settlements &amp; infrastructure", 7, "Other natural disturbances"), "")</f>
        <v>Permanent agriculture</v>
      </c>
      <c r="M7" s="10">
        <f>_xlfn.LET(_xlpm.x, scenarios!M6, IF(OR(ISERROR(_xlpm.x), _xlpm.x=0), "", _xlpm.x))</f>
        <v>2015</v>
      </c>
      <c r="N7" s="10" t="str">
        <f>_xlfn.LET(_xlpm.x, scenarios!N6, IF(OR(ISERROR(_xlpm.x), _xlpm.x=0), "", _xlpm.x))</f>
        <v/>
      </c>
      <c r="O7" s="10" t="str">
        <f>_xlfn.LET(_xlpm.x, scenarios!O6, IF(OR(ISERROR(_xlpm.x), _xlpm.x=0), "", _xlpm.x))</f>
        <v/>
      </c>
      <c r="P7" s="10" t="str">
        <f>_xlfn.LET(_xlpm.x, scenarios!P6, IF(OR(ISERROR(_xlpm.x), _xlpm.x=0), "", _xlpm.x))</f>
        <v/>
      </c>
      <c r="Q7" s="10" t="str">
        <f>_xlfn.LET(_xlpm.x, scenarios!Q6, IF(OR(ISERROR(_xlpm.x), _xlpm.x=0), "", _xlpm.x))</f>
        <v/>
      </c>
      <c r="R7" s="10" t="b">
        <f>_xlfn.LET(_xlpm.x, scenarios!R6, IF(OR(ISERROR(_xlpm.x), _xlpm.x=0), "", _xlpm.x))</f>
        <v>1</v>
      </c>
    </row>
    <row r="8" spans="1:23" s="10" customFormat="1" x14ac:dyDescent="0.3">
      <c r="A8" s="9">
        <v>6</v>
      </c>
      <c r="B8" s="10" t="str" cm="1">
        <f t="array" ref="B8">_xlfn.LET(_xlpm.x, VLOOKUP($A8,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8" s="10" t="str" cm="1">
        <f t="array" ref="C8">_xlfn.LET(_xlpm.x, VLOOKUP($A8,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8" s="10" t="str" cm="1">
        <f t="array" ref="D8">_xlfn.LET(_xlpm.x, VLOOKUP($A8,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8" s="10" t="str" cm="1">
        <f t="array" ref="E8">_xlfn.LET(_xlpm.x, VLOOKUP($A8,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8" s="10" t="str" cm="1">
        <f t="array" ref="F8">_xlfn.LET(_xlpm.x, VLOOKUP($A8,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8" s="10" t="str" cm="1">
        <f t="array" ref="G8">_xlfn.LET(_xlpm.x, VLOOKUP($A8,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8" s="10" t="str" cm="1">
        <f t="array" ref="H8">_xlfn.LET(_xlpm.x, VLOOKUP($A8,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8" s="10" t="str" cm="1">
        <f t="array" ref="I8">_xlfn.LET(_xlpm.x, VLOOKUP($A8,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8" s="10" t="str" cm="1">
        <f t="array" ref="J8">_xlfn.LET(_xlpm.x, VLOOKUP($A8,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8" s="10" t="str" cm="1">
        <f t="array" ref="K8">_xlfn.LET(_xlpm.x, VLOOKUP($A8,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8" s="10" t="str" cm="1">
        <f t="array" ref="L8">IFERROR(_xlfn.SWITCH(VLOOKUP($A8, scenarios!$A$2:$P$109, L$1, 0), 1, "Permanent agriculture", 2, "Hard commodities", 3, "Shifting cultivation", 4, "Logging", 5, "Wildfire", 6, "Settlements &amp; infrastructure", 7, "Other natural disturbances"), "")</f>
        <v>Permanent agriculture</v>
      </c>
      <c r="M8" s="10">
        <f>_xlfn.LET(_xlpm.x, scenarios!M7, IF(OR(ISERROR(_xlpm.x), _xlpm.x=0), "", _xlpm.x))</f>
        <v>2020</v>
      </c>
      <c r="N8" s="10" t="str">
        <f>_xlfn.LET(_xlpm.x, scenarios!N7, IF(OR(ISERROR(_xlpm.x), _xlpm.x=0), "", _xlpm.x))</f>
        <v/>
      </c>
      <c r="O8" s="10" t="str">
        <f>_xlfn.LET(_xlpm.x, scenarios!O7, IF(OR(ISERROR(_xlpm.x), _xlpm.x=0), "", _xlpm.x))</f>
        <v/>
      </c>
      <c r="P8" s="10" t="str">
        <f>_xlfn.LET(_xlpm.x, scenarios!P7, IF(OR(ISERROR(_xlpm.x), _xlpm.x=0), "", _xlpm.x))</f>
        <v/>
      </c>
      <c r="Q8" s="10" t="str">
        <f>_xlfn.LET(_xlpm.x, scenarios!Q7, IF(OR(ISERROR(_xlpm.x), _xlpm.x=0), "", _xlpm.x))</f>
        <v/>
      </c>
      <c r="R8" s="10" t="str">
        <f>_xlfn.LET(_xlpm.x, scenarios!R7, IF(OR(ISERROR(_xlpm.x), _xlpm.x=0), "", _xlpm.x))</f>
        <v/>
      </c>
    </row>
    <row r="9" spans="1:23" s="13" customFormat="1" x14ac:dyDescent="0.3">
      <c r="A9" s="12">
        <v>7</v>
      </c>
      <c r="B9" s="13" t="str" cm="1">
        <f t="array" ref="B9">_xlfn.LET(_xlpm.x, VLOOKUP($A9,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9" s="13" t="str" cm="1">
        <f t="array" ref="C9">_xlfn.LET(_xlpm.x, VLOOKUP($A9,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9" s="13" t="str" cm="1">
        <f t="array" ref="D9">_xlfn.LET(_xlpm.x, VLOOKUP($A9,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9" s="13" t="str" cm="1">
        <f t="array" ref="E9">_xlfn.LET(_xlpm.x, VLOOKUP($A9,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9" s="13" t="str" cm="1">
        <f t="array" ref="F9">_xlfn.LET(_xlpm.x, VLOOKUP($A9,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9" s="13" t="str" cm="1">
        <f t="array" ref="G9">_xlfn.LET(_xlpm.x, VLOOKUP($A9,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9" s="13" t="str" cm="1">
        <f t="array" ref="H9">_xlfn.LET(_xlpm.x, VLOOKUP($A9,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9" s="13" t="str" cm="1">
        <f t="array" ref="I9">_xlfn.LET(_xlpm.x, VLOOKUP($A9,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9" s="13" t="str" cm="1">
        <f t="array" ref="J9">_xlfn.LET(_xlpm.x, VLOOKUP($A9,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9" s="13" t="str" cm="1">
        <f t="array" ref="K9">_xlfn.LET(_xlpm.x, VLOOKUP($A9,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9" s="13" t="str" cm="1">
        <f t="array" ref="L9">IFERROR(_xlfn.SWITCH(VLOOKUP($A9, scenarios!$A$2:$P$109, L$1, 0), 1, "Permanent agriculture", 2, "Hard commodities", 3, "Shifting cultivation", 4, "Logging", 5, "Wildfire", 6, "Settlements &amp; infrastructure", 7, "Other natural disturbances"), "")</f>
        <v>Permanent agriculture</v>
      </c>
      <c r="M9" s="13">
        <f>_xlfn.LET(_xlpm.x, scenarios!M8, IF(OR(ISERROR(_xlpm.x), _xlpm.x=0), "", _xlpm.x))</f>
        <v>2020</v>
      </c>
      <c r="N9" s="13" t="str">
        <f>_xlfn.LET(_xlpm.x, scenarios!N8, IF(OR(ISERROR(_xlpm.x), _xlpm.x=0), "", _xlpm.x))</f>
        <v/>
      </c>
      <c r="O9" s="13" t="str">
        <f>_xlfn.LET(_xlpm.x, scenarios!O8, IF(OR(ISERROR(_xlpm.x), _xlpm.x=0), "", _xlpm.x))</f>
        <v/>
      </c>
      <c r="P9" s="13" t="str">
        <f>_xlfn.LET(_xlpm.x, scenarios!P8, IF(OR(ISERROR(_xlpm.x), _xlpm.x=0), "", _xlpm.x))</f>
        <v/>
      </c>
      <c r="Q9" s="13" t="str">
        <f>_xlfn.LET(_xlpm.x, scenarios!Q8, IF(OR(ISERROR(_xlpm.x), _xlpm.x=0), "", _xlpm.x))</f>
        <v/>
      </c>
      <c r="R9" s="13" t="b">
        <f>_xlfn.LET(_xlpm.x, scenarios!R8, IF(OR(ISERROR(_xlpm.x), _xlpm.x=0), "", _xlpm.x))</f>
        <v>1</v>
      </c>
    </row>
    <row r="10" spans="1:23" s="8" customFormat="1" x14ac:dyDescent="0.3">
      <c r="A10" s="7">
        <v>8</v>
      </c>
      <c r="B10" s="8" t="str" cm="1">
        <f t="array" ref="B10">_xlfn.LET(_xlpm.x, VLOOKUP($A10,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0" s="8" t="str" cm="1">
        <f t="array" ref="C10">_xlfn.LET(_xlpm.x, VLOOKUP($A10,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0" s="8" t="str" cm="1">
        <f t="array" ref="D10">_xlfn.LET(_xlpm.x, VLOOKUP($A10,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0" s="8" t="str" cm="1">
        <f t="array" ref="E10">_xlfn.LET(_xlpm.x, VLOOKUP($A10,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0" s="8" t="str" cm="1">
        <f t="array" ref="F10">_xlfn.LET(_xlpm.x, VLOOKUP($A10,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0" s="8" t="str" cm="1">
        <f t="array" ref="G10">_xlfn.LET(_xlpm.x, VLOOKUP($A10,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0" s="8" t="str" cm="1">
        <f t="array" ref="H10">_xlfn.LET(_xlpm.x, VLOOKUP($A10,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0" s="8" t="str" cm="1">
        <f t="array" ref="I10">_xlfn.LET(_xlpm.x, VLOOKUP($A10,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0" s="8" t="str" cm="1">
        <f t="array" ref="J10">_xlfn.LET(_xlpm.x, VLOOKUP($A10,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0" s="8" t="str" cm="1">
        <f t="array" ref="K10">_xlfn.LET(_xlpm.x, VLOOKUP($A10,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0" s="8" t="str" cm="1">
        <f t="array" ref="L10">IFERROR(_xlfn.SWITCH(VLOOKUP($A10, scenarios!$A$2:$P$109, L$1, 0), 1, "Permanent agriculture", 2, "Hard commodities", 3, "Shifting cultivation", 4, "Logging", 5, "Wildfire", 6, "Settlements &amp; infrastructure", 7, "Other natural disturbances"), "")</f>
        <v>Shifting cultivation</v>
      </c>
      <c r="M10" s="8">
        <f>_xlfn.LET(_xlpm.x, scenarios!M9, IF(OR(ISERROR(_xlpm.x), _xlpm.x=0), "", _xlpm.x))</f>
        <v>2015</v>
      </c>
      <c r="N10" s="8" t="str">
        <f>_xlfn.LET(_xlpm.x, scenarios!N9, IF(OR(ISERROR(_xlpm.x), _xlpm.x=0), "", _xlpm.x))</f>
        <v/>
      </c>
      <c r="O10" s="8" t="str">
        <f>_xlfn.LET(_xlpm.x, scenarios!O9, IF(OR(ISERROR(_xlpm.x), _xlpm.x=0), "", _xlpm.x))</f>
        <v/>
      </c>
      <c r="P10" s="8" t="str">
        <f>_xlfn.LET(_xlpm.x, scenarios!P9, IF(OR(ISERROR(_xlpm.x), _xlpm.x=0), "", _xlpm.x))</f>
        <v/>
      </c>
      <c r="Q10" s="8" t="str">
        <f>_xlfn.LET(_xlpm.x, scenarios!Q9, IF(OR(ISERROR(_xlpm.x), _xlpm.x=0), "", _xlpm.x))</f>
        <v/>
      </c>
      <c r="R10" s="8" t="str">
        <f>_xlfn.LET(_xlpm.x, scenarios!R9, IF(OR(ISERROR(_xlpm.x), _xlpm.x=0), "", _xlpm.x))</f>
        <v/>
      </c>
    </row>
    <row r="11" spans="1:23" s="10" customFormat="1" x14ac:dyDescent="0.3">
      <c r="A11" s="9">
        <v>9</v>
      </c>
      <c r="B11" s="10" t="str" cm="1">
        <f t="array" ref="B11">_xlfn.LET(_xlpm.x, VLOOKUP($A11,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1" s="10" t="str" cm="1">
        <f t="array" ref="C11">_xlfn.LET(_xlpm.x, VLOOKUP($A11,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1" s="10" t="str" cm="1">
        <f t="array" ref="D11">_xlfn.LET(_xlpm.x, VLOOKUP($A11,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1" s="10" t="str" cm="1">
        <f t="array" ref="E11">_xlfn.LET(_xlpm.x, VLOOKUP($A11,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1" s="10" t="str" cm="1">
        <f t="array" ref="F11">_xlfn.LET(_xlpm.x, VLOOKUP($A11,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1" s="10" t="str" cm="1">
        <f t="array" ref="G11">_xlfn.LET(_xlpm.x, VLOOKUP($A11,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1" s="10" t="str" cm="1">
        <f t="array" ref="H11">_xlfn.LET(_xlpm.x, VLOOKUP($A11,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1" s="10" t="str" cm="1">
        <f t="array" ref="I11">_xlfn.LET(_xlpm.x, VLOOKUP($A11,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1" s="10" t="str" cm="1">
        <f t="array" ref="J11">_xlfn.LET(_xlpm.x, VLOOKUP($A11,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1" s="10" t="str" cm="1">
        <f t="array" ref="K11">_xlfn.LET(_xlpm.x, VLOOKUP($A11,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1" s="10" t="str" cm="1">
        <f t="array" ref="L11">IFERROR(_xlfn.SWITCH(VLOOKUP($A11, scenarios!$A$2:$P$109, L$1, 0), 1, "Permanent agriculture", 2, "Hard commodities", 3, "Shifting cultivation", 4, "Logging", 5, "Wildfire", 6, "Settlements &amp; infrastructure", 7, "Other natural disturbances"), "")</f>
        <v>Logging</v>
      </c>
      <c r="M11" s="10">
        <f>_xlfn.LET(_xlpm.x, scenarios!M10, IF(OR(ISERROR(_xlpm.x), _xlpm.x=0), "", _xlpm.x))</f>
        <v>2015</v>
      </c>
      <c r="N11" s="10" t="str">
        <f>_xlfn.LET(_xlpm.x, scenarios!N10, IF(OR(ISERROR(_xlpm.x), _xlpm.x=0), "", _xlpm.x))</f>
        <v/>
      </c>
      <c r="O11" s="10" t="str">
        <f>_xlfn.LET(_xlpm.x, scenarios!O10, IF(OR(ISERROR(_xlpm.x), _xlpm.x=0), "", _xlpm.x))</f>
        <v/>
      </c>
      <c r="P11" s="10" t="str">
        <f>_xlfn.LET(_xlpm.x, scenarios!P10, IF(OR(ISERROR(_xlpm.x), _xlpm.x=0), "", _xlpm.x))</f>
        <v/>
      </c>
      <c r="Q11" s="10" t="str">
        <f>_xlfn.LET(_xlpm.x, scenarios!Q10, IF(OR(ISERROR(_xlpm.x), _xlpm.x=0), "", _xlpm.x))</f>
        <v/>
      </c>
      <c r="R11" s="10" t="str">
        <f>_xlfn.LET(_xlpm.x, scenarios!R10, IF(OR(ISERROR(_xlpm.x), _xlpm.x=0), "", _xlpm.x))</f>
        <v/>
      </c>
    </row>
    <row r="12" spans="1:23" s="10" customFormat="1" x14ac:dyDescent="0.3">
      <c r="A12" s="9">
        <v>10</v>
      </c>
      <c r="B12" s="10" t="str" cm="1">
        <f t="array" ref="B12">_xlfn.LET(_xlpm.x, VLOOKUP($A12,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2" s="10" t="str" cm="1">
        <f t="array" ref="C12">_xlfn.LET(_xlpm.x, VLOOKUP($A12,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2" s="10" t="str" cm="1">
        <f t="array" ref="D12">_xlfn.LET(_xlpm.x, VLOOKUP($A12,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2" s="10" t="str" cm="1">
        <f t="array" ref="E12">_xlfn.LET(_xlpm.x, VLOOKUP($A12,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2" s="10" t="str" cm="1">
        <f t="array" ref="F12">_xlfn.LET(_xlpm.x, VLOOKUP($A12,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2" s="10" t="str" cm="1">
        <f t="array" ref="G12">_xlfn.LET(_xlpm.x, VLOOKUP($A12,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2" s="10" t="str" cm="1">
        <f t="array" ref="H12">_xlfn.LET(_xlpm.x, VLOOKUP($A12,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2" s="10" t="str" cm="1">
        <f t="array" ref="I12">_xlfn.LET(_xlpm.x, VLOOKUP($A12,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2" s="10" t="str" cm="1">
        <f t="array" ref="J12">_xlfn.LET(_xlpm.x, VLOOKUP($A12,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2" s="10" t="str" cm="1">
        <f t="array" ref="K12">_xlfn.LET(_xlpm.x, VLOOKUP($A12,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2" s="10" t="str" cm="1">
        <f t="array" ref="L12">IFERROR(_xlfn.SWITCH(VLOOKUP($A12, scenarios!$A$2:$P$109, L$1, 0), 1, "Permanent agriculture", 2, "Hard commodities", 3, "Shifting cultivation", 4, "Logging", 5, "Wildfire", 6, "Settlements &amp; infrastructure", 7, "Other natural disturbances"), "")</f>
        <v>Wildfire</v>
      </c>
      <c r="M12" s="10">
        <f>_xlfn.LET(_xlpm.x, scenarios!M11, IF(OR(ISERROR(_xlpm.x), _xlpm.x=0), "", _xlpm.x))</f>
        <v>2015</v>
      </c>
      <c r="N12" s="10" t="str">
        <f>_xlfn.LET(_xlpm.x, scenarios!N11, IF(OR(ISERROR(_xlpm.x), _xlpm.x=0), "", _xlpm.x))</f>
        <v/>
      </c>
      <c r="O12" s="10" t="str">
        <f>_xlfn.LET(_xlpm.x, scenarios!O11, IF(OR(ISERROR(_xlpm.x), _xlpm.x=0), "", _xlpm.x))</f>
        <v/>
      </c>
      <c r="P12" s="10" t="str">
        <f>_xlfn.LET(_xlpm.x, scenarios!P11, IF(OR(ISERROR(_xlpm.x), _xlpm.x=0), "", _xlpm.x))</f>
        <v/>
      </c>
      <c r="Q12" s="10" t="str">
        <f>_xlfn.LET(_xlpm.x, scenarios!Q11, IF(OR(ISERROR(_xlpm.x), _xlpm.x=0), "", _xlpm.x))</f>
        <v/>
      </c>
      <c r="R12" s="10" t="str">
        <f>_xlfn.LET(_xlpm.x, scenarios!R11, IF(OR(ISERROR(_xlpm.x), _xlpm.x=0), "", _xlpm.x))</f>
        <v/>
      </c>
      <c r="W12" s="11"/>
    </row>
    <row r="13" spans="1:23" s="13" customFormat="1" x14ac:dyDescent="0.3">
      <c r="A13" s="12">
        <v>11</v>
      </c>
      <c r="B13" s="13" t="str" cm="1">
        <f t="array" ref="B13">_xlfn.LET(_xlpm.x, VLOOKUP($A13,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3" s="13" t="str" cm="1">
        <f t="array" ref="C13">_xlfn.LET(_xlpm.x, VLOOKUP($A13,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3" s="13" t="str" cm="1">
        <f t="array" ref="D13">_xlfn.LET(_xlpm.x, VLOOKUP($A13,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3" s="13" t="str" cm="1">
        <f t="array" ref="E13">_xlfn.LET(_xlpm.x, VLOOKUP($A13,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3" s="13" t="str" cm="1">
        <f t="array" ref="F13">_xlfn.LET(_xlpm.x, VLOOKUP($A13,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3" s="13" t="str" cm="1">
        <f t="array" ref="G13">_xlfn.LET(_xlpm.x, VLOOKUP($A13,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3" s="13" t="str" cm="1">
        <f t="array" ref="H13">_xlfn.LET(_xlpm.x, VLOOKUP($A13,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3" s="13" t="str" cm="1">
        <f t="array" ref="I13">_xlfn.LET(_xlpm.x, VLOOKUP($A13,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3" s="13" t="str" cm="1">
        <f t="array" ref="J13">_xlfn.LET(_xlpm.x, VLOOKUP($A13,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3" s="13" t="str" cm="1">
        <f t="array" ref="K13">_xlfn.LET(_xlpm.x, VLOOKUP($A13,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3" s="13" t="str" cm="1">
        <f t="array" ref="L13">IFERROR(_xlfn.SWITCH(VLOOKUP($A13, scenarios!$A$2:$P$109, L$1, 0), 1, "Permanent agriculture", 2, "Hard commodities", 3, "Shifting cultivation", 4, "Logging", 5, "Wildfire", 6, "Settlements &amp; infrastructure", 7, "Other natural disturbances"), "")</f>
        <v>Other natural disturbances</v>
      </c>
      <c r="M13" s="13">
        <f>_xlfn.LET(_xlpm.x, scenarios!M12, IF(OR(ISERROR(_xlpm.x), _xlpm.x=0), "", _xlpm.x))</f>
        <v>2015</v>
      </c>
      <c r="N13" s="13" t="str">
        <f>_xlfn.LET(_xlpm.x, scenarios!N12, IF(OR(ISERROR(_xlpm.x), _xlpm.x=0), "", _xlpm.x))</f>
        <v/>
      </c>
      <c r="O13" s="13" t="str">
        <f>_xlfn.LET(_xlpm.x, scenarios!O12, IF(OR(ISERROR(_xlpm.x), _xlpm.x=0), "", _xlpm.x))</f>
        <v/>
      </c>
      <c r="P13" s="13" t="str">
        <f>_xlfn.LET(_xlpm.x, scenarios!P12, IF(OR(ISERROR(_xlpm.x), _xlpm.x=0), "", _xlpm.x))</f>
        <v/>
      </c>
      <c r="Q13" s="13" t="str">
        <f>_xlfn.LET(_xlpm.x, scenarios!Q12, IF(OR(ISERROR(_xlpm.x), _xlpm.x=0), "", _xlpm.x))</f>
        <v/>
      </c>
      <c r="R13" s="13" t="str">
        <f>_xlfn.LET(_xlpm.x, scenarios!R12, IF(OR(ISERROR(_xlpm.x), _xlpm.x=0), "", _xlpm.x))</f>
        <v/>
      </c>
      <c r="W13" s="14"/>
    </row>
    <row r="14" spans="1:23" s="8" customFormat="1" x14ac:dyDescent="0.3">
      <c r="A14" s="7">
        <v>12</v>
      </c>
      <c r="B14" s="8" t="str" cm="1">
        <f t="array" ref="B14">_xlfn.LET(_xlpm.x, VLOOKUP($A14,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4" s="8" t="str" cm="1">
        <f t="array" ref="C14">_xlfn.LET(_xlpm.x, VLOOKUP($A14,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4" s="8" t="str" cm="1">
        <f t="array" ref="D14">_xlfn.LET(_xlpm.x, VLOOKUP($A14,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4" s="8" t="str" cm="1">
        <f t="array" ref="E14">_xlfn.LET(_xlpm.x, VLOOKUP($A14,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4" s="8" t="str" cm="1">
        <f t="array" ref="F14">_xlfn.LET(_xlpm.x, VLOOKUP($A14,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4" s="8" t="str" cm="1">
        <f t="array" ref="G14">_xlfn.LET(_xlpm.x, VLOOKUP($A14,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4" s="8" t="str" cm="1">
        <f t="array" ref="H14">_xlfn.LET(_xlpm.x, VLOOKUP($A14,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4" s="8" t="str" cm="1">
        <f t="array" ref="I14">_xlfn.LET(_xlpm.x, VLOOKUP($A14,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4" s="8" t="str" cm="1">
        <f t="array" ref="J14">_xlfn.LET(_xlpm.x, VLOOKUP($A14,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4" s="8" t="str" cm="1">
        <f t="array" ref="K14">_xlfn.LET(_xlpm.x, VLOOKUP($A14,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4" s="8" t="str" cm="1">
        <f t="array" ref="L14">IFERROR(_xlfn.SWITCH(VLOOKUP($A14, scenarios!$A$2:$P$109, L$1, 0), 1, "Permanent agriculture", 2, "Hard commodities", 3, "Shifting cultivation", 4, "Logging", 5, "Wildfire", 6, "Settlements &amp; infrastructure", 7, "Other natural disturbances"), "")</f>
        <v>Shifting cultivation</v>
      </c>
      <c r="M14" s="8">
        <f>_xlfn.LET(_xlpm.x, scenarios!M13, IF(OR(ISERROR(_xlpm.x), _xlpm.x=0), "", _xlpm.x))</f>
        <v>2020</v>
      </c>
      <c r="N14" s="8" t="str">
        <f>_xlfn.LET(_xlpm.x, scenarios!N13, IF(OR(ISERROR(_xlpm.x), _xlpm.x=0), "", _xlpm.x))</f>
        <v/>
      </c>
      <c r="O14" s="8" t="str">
        <f>_xlfn.LET(_xlpm.x, scenarios!O13, IF(OR(ISERROR(_xlpm.x), _xlpm.x=0), "", _xlpm.x))</f>
        <v/>
      </c>
      <c r="P14" s="8" t="str">
        <f>_xlfn.LET(_xlpm.x, scenarios!P13, IF(OR(ISERROR(_xlpm.x), _xlpm.x=0), "", _xlpm.x))</f>
        <v/>
      </c>
      <c r="Q14" s="8" t="str">
        <f>_xlfn.LET(_xlpm.x, scenarios!Q13, IF(OR(ISERROR(_xlpm.x), _xlpm.x=0), "", _xlpm.x))</f>
        <v/>
      </c>
      <c r="R14" s="8" t="str">
        <f>_xlfn.LET(_xlpm.x, scenarios!R13, IF(OR(ISERROR(_xlpm.x), _xlpm.x=0), "", _xlpm.x))</f>
        <v/>
      </c>
    </row>
    <row r="15" spans="1:23" s="10" customFormat="1" x14ac:dyDescent="0.3">
      <c r="A15" s="9">
        <v>13</v>
      </c>
      <c r="B15" s="10" t="str" cm="1">
        <f t="array" ref="B15">_xlfn.LET(_xlpm.x, VLOOKUP($A15,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5" s="10" t="str" cm="1">
        <f t="array" ref="C15">_xlfn.LET(_xlpm.x, VLOOKUP($A15,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5" s="10" t="str" cm="1">
        <f t="array" ref="D15">_xlfn.LET(_xlpm.x, VLOOKUP($A15,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5" s="10" t="str" cm="1">
        <f t="array" ref="E15">_xlfn.LET(_xlpm.x, VLOOKUP($A15,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5" s="10" t="str" cm="1">
        <f t="array" ref="F15">_xlfn.LET(_xlpm.x, VLOOKUP($A15,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5" s="10" t="str" cm="1">
        <f t="array" ref="G15">_xlfn.LET(_xlpm.x, VLOOKUP($A15,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5" s="10" t="str" cm="1">
        <f t="array" ref="H15">_xlfn.LET(_xlpm.x, VLOOKUP($A15,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5" s="10" t="str" cm="1">
        <f t="array" ref="I15">_xlfn.LET(_xlpm.x, VLOOKUP($A15,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5" s="10" t="str" cm="1">
        <f t="array" ref="J15">_xlfn.LET(_xlpm.x, VLOOKUP($A15,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5" s="10" t="str" cm="1">
        <f t="array" ref="K15">_xlfn.LET(_xlpm.x, VLOOKUP($A15,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5" s="10" t="str" cm="1">
        <f t="array" ref="L15">IFERROR(_xlfn.SWITCH(VLOOKUP($A15, scenarios!$A$2:$P$109, L$1, 0), 1, "Permanent agriculture", 2, "Hard commodities", 3, "Shifting cultivation", 4, "Logging", 5, "Wildfire", 6, "Settlements &amp; infrastructure", 7, "Other natural disturbances"), "")</f>
        <v>Logging</v>
      </c>
      <c r="M15" s="10">
        <f>_xlfn.LET(_xlpm.x, scenarios!M14, IF(OR(ISERROR(_xlpm.x), _xlpm.x=0), "", _xlpm.x))</f>
        <v>2020</v>
      </c>
      <c r="N15" s="10" t="str">
        <f>_xlfn.LET(_xlpm.x, scenarios!N14, IF(OR(ISERROR(_xlpm.x), _xlpm.x=0), "", _xlpm.x))</f>
        <v/>
      </c>
      <c r="O15" s="10" t="str">
        <f>_xlfn.LET(_xlpm.x, scenarios!O14, IF(OR(ISERROR(_xlpm.x), _xlpm.x=0), "", _xlpm.x))</f>
        <v/>
      </c>
      <c r="P15" s="10" t="str">
        <f>_xlfn.LET(_xlpm.x, scenarios!P14, IF(OR(ISERROR(_xlpm.x), _xlpm.x=0), "", _xlpm.x))</f>
        <v/>
      </c>
      <c r="Q15" s="10" t="str">
        <f>_xlfn.LET(_xlpm.x, scenarios!Q14, IF(OR(ISERROR(_xlpm.x), _xlpm.x=0), "", _xlpm.x))</f>
        <v/>
      </c>
      <c r="R15" s="10" t="str">
        <f>_xlfn.LET(_xlpm.x, scenarios!R14, IF(OR(ISERROR(_xlpm.x), _xlpm.x=0), "", _xlpm.x))</f>
        <v/>
      </c>
      <c r="W15" s="11"/>
    </row>
    <row r="16" spans="1:23" s="10" customFormat="1" x14ac:dyDescent="0.3">
      <c r="A16" s="9">
        <v>14</v>
      </c>
      <c r="B16" s="10" t="str" cm="1">
        <f t="array" ref="B16">_xlfn.LET(_xlpm.x, VLOOKUP($A16,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6" s="10" t="str" cm="1">
        <f t="array" ref="C16">_xlfn.LET(_xlpm.x, VLOOKUP($A16,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6" s="10" t="str" cm="1">
        <f t="array" ref="D16">_xlfn.LET(_xlpm.x, VLOOKUP($A16,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6" s="10" t="str" cm="1">
        <f t="array" ref="E16">_xlfn.LET(_xlpm.x, VLOOKUP($A16,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6" s="10" t="str" cm="1">
        <f t="array" ref="F16">_xlfn.LET(_xlpm.x, VLOOKUP($A16,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6" s="10" t="str" cm="1">
        <f t="array" ref="G16">_xlfn.LET(_xlpm.x, VLOOKUP($A16,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6" s="10" t="str" cm="1">
        <f t="array" ref="H16">_xlfn.LET(_xlpm.x, VLOOKUP($A16,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6" s="10" t="str" cm="1">
        <f t="array" ref="I16">_xlfn.LET(_xlpm.x, VLOOKUP($A16,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6" s="10" t="str" cm="1">
        <f t="array" ref="J16">_xlfn.LET(_xlpm.x, VLOOKUP($A16,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6" s="10" t="str" cm="1">
        <f t="array" ref="K16">_xlfn.LET(_xlpm.x, VLOOKUP($A16,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6" s="10" t="str" cm="1">
        <f t="array" ref="L16">IFERROR(_xlfn.SWITCH(VLOOKUP($A16, scenarios!$A$2:$P$109, L$1, 0), 1, "Permanent agriculture", 2, "Hard commodities", 3, "Shifting cultivation", 4, "Logging", 5, "Wildfire", 6, "Settlements &amp; infrastructure", 7, "Other natural disturbances"), "")</f>
        <v>Wildfire</v>
      </c>
      <c r="M16" s="10">
        <f>_xlfn.LET(_xlpm.x, scenarios!M15, IF(OR(ISERROR(_xlpm.x), _xlpm.x=0), "", _xlpm.x))</f>
        <v>2020</v>
      </c>
      <c r="N16" s="10" t="str">
        <f>_xlfn.LET(_xlpm.x, scenarios!N15, IF(OR(ISERROR(_xlpm.x), _xlpm.x=0), "", _xlpm.x))</f>
        <v/>
      </c>
      <c r="O16" s="10" t="str">
        <f>_xlfn.LET(_xlpm.x, scenarios!O15, IF(OR(ISERROR(_xlpm.x), _xlpm.x=0), "", _xlpm.x))</f>
        <v/>
      </c>
      <c r="P16" s="10" t="str">
        <f>_xlfn.LET(_xlpm.x, scenarios!P15, IF(OR(ISERROR(_xlpm.x), _xlpm.x=0), "", _xlpm.x))</f>
        <v/>
      </c>
      <c r="Q16" s="10" t="str">
        <f>_xlfn.LET(_xlpm.x, scenarios!Q15, IF(OR(ISERROR(_xlpm.x), _xlpm.x=0), "", _xlpm.x))</f>
        <v/>
      </c>
      <c r="R16" s="10" t="str">
        <f>_xlfn.LET(_xlpm.x, scenarios!R15, IF(OR(ISERROR(_xlpm.x), _xlpm.x=0), "", _xlpm.x))</f>
        <v/>
      </c>
      <c r="W16" s="11"/>
    </row>
    <row r="17" spans="1:23" s="13" customFormat="1" x14ac:dyDescent="0.3">
      <c r="A17" s="12">
        <v>15</v>
      </c>
      <c r="B17" s="13" t="str" cm="1">
        <f t="array" ref="B17">_xlfn.LET(_xlpm.x, VLOOKUP($A17,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17" s="13" t="str" cm="1">
        <f t="array" ref="C17">_xlfn.LET(_xlpm.x, VLOOKUP($A17,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17" s="13" t="str" cm="1">
        <f t="array" ref="D17">_xlfn.LET(_xlpm.x, VLOOKUP($A17,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17" s="13" t="str" cm="1">
        <f t="array" ref="E17">_xlfn.LET(_xlpm.x, VLOOKUP($A17,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17" s="13" t="str" cm="1">
        <f t="array" ref="F17">_xlfn.LET(_xlpm.x, VLOOKUP($A17,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17" s="13" t="str" cm="1">
        <f t="array" ref="G17">_xlfn.LET(_xlpm.x, VLOOKUP($A17,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17" s="13" t="str" cm="1">
        <f t="array" ref="H17">_xlfn.LET(_xlpm.x, VLOOKUP($A17,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17" s="13" t="str" cm="1">
        <f t="array" ref="I17">_xlfn.LET(_xlpm.x, VLOOKUP($A17,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17" s="13" t="str" cm="1">
        <f t="array" ref="J17">_xlfn.LET(_xlpm.x, VLOOKUP($A17,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17" s="13" t="str" cm="1">
        <f t="array" ref="K17">_xlfn.LET(_xlpm.x, VLOOKUP($A17,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17" s="13" t="str" cm="1">
        <f t="array" ref="L17">IFERROR(_xlfn.SWITCH(VLOOKUP($A17, scenarios!$A$2:$P$109, L$1, 0), 1, "Permanent agriculture", 2, "Hard commodities", 3, "Shifting cultivation", 4, "Logging", 5, "Wildfire", 6, "Settlements &amp; infrastructure", 7, "Other natural disturbances"), "")</f>
        <v>Other natural disturbances</v>
      </c>
      <c r="M17" s="13">
        <f>_xlfn.LET(_xlpm.x, scenarios!M16, IF(OR(ISERROR(_xlpm.x), _xlpm.x=0), "", _xlpm.x))</f>
        <v>2020</v>
      </c>
      <c r="N17" s="13" t="str">
        <f>_xlfn.LET(_xlpm.x, scenarios!N16, IF(OR(ISERROR(_xlpm.x), _xlpm.x=0), "", _xlpm.x))</f>
        <v/>
      </c>
      <c r="O17" s="13" t="str">
        <f>_xlfn.LET(_xlpm.x, scenarios!O16, IF(OR(ISERROR(_xlpm.x), _xlpm.x=0), "", _xlpm.x))</f>
        <v/>
      </c>
      <c r="P17" s="13" t="str">
        <f>_xlfn.LET(_xlpm.x, scenarios!P16, IF(OR(ISERROR(_xlpm.x), _xlpm.x=0), "", _xlpm.x))</f>
        <v/>
      </c>
      <c r="Q17" s="13" t="str">
        <f>_xlfn.LET(_xlpm.x, scenarios!Q16, IF(OR(ISERROR(_xlpm.x), _xlpm.x=0), "", _xlpm.x))</f>
        <v/>
      </c>
      <c r="R17" s="13" t="str">
        <f>_xlfn.LET(_xlpm.x, scenarios!R16, IF(OR(ISERROR(_xlpm.x), _xlpm.x=0), "", _xlpm.x))</f>
        <v/>
      </c>
      <c r="W17" s="14"/>
    </row>
    <row r="18" spans="1:23" s="8" customFormat="1" x14ac:dyDescent="0.3">
      <c r="A18" s="7">
        <v>16</v>
      </c>
      <c r="B18" s="8" t="str" cm="1">
        <f t="array" ref="B18">_xlfn.LET(_xlpm.x, VLOOKUP($A18,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18" s="8" t="str" cm="1">
        <f t="array" ref="C18">_xlfn.LET(_xlpm.x, VLOOKUP($A18,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18" s="8" t="str" cm="1">
        <f t="array" ref="D18">_xlfn.LET(_xlpm.x, VLOOKUP($A18,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18" s="8" t="str" cm="1">
        <f t="array" ref="E18">_xlfn.LET(_xlpm.x, VLOOKUP($A18,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18" s="8" t="str" cm="1">
        <f t="array" ref="F18">_xlfn.LET(_xlpm.x, VLOOKUP($A18,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18" s="8" t="str" cm="1">
        <f t="array" ref="G18">_xlfn.LET(_xlpm.x, VLOOKUP($A18,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18" s="8" t="str" cm="1">
        <f t="array" ref="H18">_xlfn.LET(_xlpm.x, VLOOKUP($A18,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18" s="8" t="str" cm="1">
        <f t="array" ref="I18">_xlfn.LET(_xlpm.x, VLOOKUP($A18,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18" s="8" t="str" cm="1">
        <f t="array" ref="J18">_xlfn.LET(_xlpm.x, VLOOKUP($A18,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18" s="8" t="str" cm="1">
        <f t="array" ref="K18">_xlfn.LET(_xlpm.x, VLOOKUP($A18,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18" s="8" t="str" cm="1">
        <f t="array" ref="L18">IFERROR(_xlfn.SWITCH(VLOOKUP($A18, scenarios!$A$2:$P$109, L$1, 0), 1, "Permanent agriculture", 2, "Hard commodities", 3, "Shifting cultivation", 4, "Logging", 5, "Wildfire", 6, "Settlements &amp; infrastructure", 7, "Other natural disturbances"), "")</f>
        <v/>
      </c>
      <c r="M18" s="8" t="str">
        <f>_xlfn.LET(_xlpm.x, scenarios!M17, IF(OR(ISERROR(_xlpm.x), _xlpm.x=0), "", _xlpm.x))</f>
        <v/>
      </c>
      <c r="N18" s="8" t="str">
        <f>_xlfn.LET(_xlpm.x, scenarios!N17, IF(OR(ISERROR(_xlpm.x), _xlpm.x=0), "", _xlpm.x))</f>
        <v/>
      </c>
      <c r="O18" s="8" t="str">
        <f>_xlfn.LET(_xlpm.x, scenarios!O17, IF(OR(ISERROR(_xlpm.x), _xlpm.x=0), "", _xlpm.x))</f>
        <v/>
      </c>
      <c r="P18" s="8" t="str">
        <f>_xlfn.LET(_xlpm.x, scenarios!P17, IF(OR(ISERROR(_xlpm.x), _xlpm.x=0), "", _xlpm.x))</f>
        <v/>
      </c>
      <c r="Q18" s="8" t="str">
        <f>_xlfn.LET(_xlpm.x, scenarios!Q17, IF(OR(ISERROR(_xlpm.x), _xlpm.x=0), "", _xlpm.x))</f>
        <v/>
      </c>
      <c r="R18" s="8" t="str">
        <f>_xlfn.LET(_xlpm.x, scenarios!R17, IF(OR(ISERROR(_xlpm.x), _xlpm.x=0), "", _xlpm.x))</f>
        <v/>
      </c>
      <c r="W18" s="15"/>
    </row>
    <row r="19" spans="1:23" s="10" customFormat="1" x14ac:dyDescent="0.3">
      <c r="A19" s="9">
        <v>17</v>
      </c>
      <c r="B19" s="10" t="str" cm="1">
        <f t="array" ref="B19">_xlfn.LET(_xlpm.x, VLOOKUP($A19,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19" s="10" t="str" cm="1">
        <f t="array" ref="C19">_xlfn.LET(_xlpm.x, VLOOKUP($A19,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19" s="10" t="str" cm="1">
        <f t="array" ref="D19">_xlfn.LET(_xlpm.x, VLOOKUP($A19,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19" s="10" t="str" cm="1">
        <f t="array" ref="E19">_xlfn.LET(_xlpm.x, VLOOKUP($A19,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19" s="10" t="str" cm="1">
        <f t="array" ref="F19">_xlfn.LET(_xlpm.x, VLOOKUP($A19,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19" s="10" t="str" cm="1">
        <f t="array" ref="G19">_xlfn.LET(_xlpm.x, VLOOKUP($A19,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19" s="10" t="str" cm="1">
        <f t="array" ref="H19">_xlfn.LET(_xlpm.x, VLOOKUP($A19,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19" s="10" t="str" cm="1">
        <f t="array" ref="I19">_xlfn.LET(_xlpm.x, VLOOKUP($A19,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19" s="10" t="str" cm="1">
        <f t="array" ref="J19">_xlfn.LET(_xlpm.x, VLOOKUP($A19,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19" s="10" t="str" cm="1">
        <f t="array" ref="K19">_xlfn.LET(_xlpm.x, VLOOKUP($A19,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19" s="10" t="str" cm="1">
        <f t="array" ref="L19">IFERROR(_xlfn.SWITCH(VLOOKUP($A19, scenarios!$A$2:$P$109, L$1, 0), 1, "Permanent agriculture", 2, "Hard commodities", 3, "Shifting cultivation", 4, "Logging", 5, "Wildfire", 6, "Settlements &amp; infrastructure", 7, "Other natural disturbances"), "")</f>
        <v/>
      </c>
      <c r="M19" s="10">
        <f>_xlfn.LET(_xlpm.x, scenarios!M18, IF(OR(ISERROR(_xlpm.x), _xlpm.x=0), "", _xlpm.x))</f>
        <v>2015</v>
      </c>
      <c r="N19" s="10" t="b">
        <f>_xlfn.LET(_xlpm.x, scenarios!N18, IF(OR(ISERROR(_xlpm.x), _xlpm.x=0), "", _xlpm.x))</f>
        <v>1</v>
      </c>
      <c r="O19" s="10" t="str">
        <f>_xlfn.LET(_xlpm.x, scenarios!O18, IF(OR(ISERROR(_xlpm.x), _xlpm.x=0), "", _xlpm.x))</f>
        <v/>
      </c>
      <c r="P19" s="10" t="str">
        <f>_xlfn.LET(_xlpm.x, scenarios!P18, IF(OR(ISERROR(_xlpm.x), _xlpm.x=0), "", _xlpm.x))</f>
        <v/>
      </c>
      <c r="Q19" s="10" t="str">
        <f>_xlfn.LET(_xlpm.x, scenarios!Q18, IF(OR(ISERROR(_xlpm.x), _xlpm.x=0), "", _xlpm.x))</f>
        <v/>
      </c>
      <c r="R19" s="10" t="str">
        <f>_xlfn.LET(_xlpm.x, scenarios!R18, IF(OR(ISERROR(_xlpm.x), _xlpm.x=0), "", _xlpm.x))</f>
        <v/>
      </c>
      <c r="W19" s="11"/>
    </row>
    <row r="20" spans="1:23" s="10" customFormat="1" x14ac:dyDescent="0.3">
      <c r="A20" s="9">
        <v>18</v>
      </c>
      <c r="B20" s="10" t="str" cm="1">
        <f t="array" ref="B20">_xlfn.LET(_xlpm.x, VLOOKUP($A20,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0" s="10" t="str" cm="1">
        <f t="array" ref="C20">_xlfn.LET(_xlpm.x, VLOOKUP($A20,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0" s="10" t="str" cm="1">
        <f t="array" ref="D20">_xlfn.LET(_xlpm.x, VLOOKUP($A20,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0" s="10" t="str" cm="1">
        <f t="array" ref="E20">_xlfn.LET(_xlpm.x, VLOOKUP($A20,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0" s="10" t="str" cm="1">
        <f t="array" ref="F20">_xlfn.LET(_xlpm.x, VLOOKUP($A20,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0" s="10" t="str" cm="1">
        <f t="array" ref="G20">_xlfn.LET(_xlpm.x, VLOOKUP($A20,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0" s="10" t="str" cm="1">
        <f t="array" ref="H20">_xlfn.LET(_xlpm.x, VLOOKUP($A20,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0" s="10" t="str" cm="1">
        <f t="array" ref="I20">_xlfn.LET(_xlpm.x, VLOOKUP($A20,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0" s="10" t="str" cm="1">
        <f t="array" ref="J20">_xlfn.LET(_xlpm.x, VLOOKUP($A20,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0" s="10" t="str" cm="1">
        <f t="array" ref="K20">_xlfn.LET(_xlpm.x, VLOOKUP($A20,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0" s="10" t="str" cm="1">
        <f t="array" ref="L20">IFERROR(_xlfn.SWITCH(VLOOKUP($A20, scenarios!$A$2:$P$109, L$1, 0), 1, "Permanent agriculture", 2, "Hard commodities", 3, "Shifting cultivation", 4, "Logging", 5, "Wildfire", 6, "Settlements &amp; infrastructure", 7, "Other natural disturbances"), "")</f>
        <v/>
      </c>
      <c r="M20" s="10">
        <f>_xlfn.LET(_xlpm.x, scenarios!M19, IF(OR(ISERROR(_xlpm.x), _xlpm.x=0), "", _xlpm.x))</f>
        <v>2015</v>
      </c>
      <c r="N20" s="10" t="str">
        <f>_xlfn.LET(_xlpm.x, scenarios!N19, IF(OR(ISERROR(_xlpm.x), _xlpm.x=0), "", _xlpm.x))</f>
        <v/>
      </c>
      <c r="O20" s="10" t="b">
        <f>_xlfn.LET(_xlpm.x, scenarios!O19, IF(OR(ISERROR(_xlpm.x), _xlpm.x=0), "", _xlpm.x))</f>
        <v>1</v>
      </c>
      <c r="P20" s="10" t="str">
        <f>_xlfn.LET(_xlpm.x, scenarios!P19, IF(OR(ISERROR(_xlpm.x), _xlpm.x=0), "", _xlpm.x))</f>
        <v/>
      </c>
      <c r="Q20" s="10" t="str">
        <f>_xlfn.LET(_xlpm.x, scenarios!Q19, IF(OR(ISERROR(_xlpm.x), _xlpm.x=0), "", _xlpm.x))</f>
        <v/>
      </c>
      <c r="R20" s="10" t="str">
        <f>_xlfn.LET(_xlpm.x, scenarios!R19, IF(OR(ISERROR(_xlpm.x), _xlpm.x=0), "", _xlpm.x))</f>
        <v/>
      </c>
      <c r="W20" s="11"/>
    </row>
    <row r="21" spans="1:23" s="10" customFormat="1" x14ac:dyDescent="0.3">
      <c r="A21" s="9">
        <v>19</v>
      </c>
      <c r="B21" s="10" t="str" cm="1">
        <f t="array" ref="B21">_xlfn.LET(_xlpm.x, VLOOKUP($A21,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1" s="10" t="str" cm="1">
        <f t="array" ref="C21">_xlfn.LET(_xlpm.x, VLOOKUP($A21,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1" s="10" t="str" cm="1">
        <f t="array" ref="D21">_xlfn.LET(_xlpm.x, VLOOKUP($A21,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1" s="10" t="str" cm="1">
        <f t="array" ref="E21">_xlfn.LET(_xlpm.x, VLOOKUP($A21,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1" s="10" t="str" cm="1">
        <f t="array" ref="F21">_xlfn.LET(_xlpm.x, VLOOKUP($A21,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1" s="10" t="str" cm="1">
        <f t="array" ref="G21">_xlfn.LET(_xlpm.x, VLOOKUP($A21,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1" s="10" t="str" cm="1">
        <f t="array" ref="H21">_xlfn.LET(_xlpm.x, VLOOKUP($A21,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1" s="10" t="str" cm="1">
        <f t="array" ref="I21">_xlfn.LET(_xlpm.x, VLOOKUP($A21,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1" s="10" t="str" cm="1">
        <f t="array" ref="J21">_xlfn.LET(_xlpm.x, VLOOKUP($A21,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1" s="10" t="str" cm="1">
        <f t="array" ref="K21">_xlfn.LET(_xlpm.x, VLOOKUP($A21,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1" s="10" t="str" cm="1">
        <f t="array" ref="L21">IFERROR(_xlfn.SWITCH(VLOOKUP($A21, scenarios!$A$2:$P$109, L$1, 0), 1, "Permanent agriculture", 2, "Hard commodities", 3, "Shifting cultivation", 4, "Logging", 5, "Wildfire", 6, "Settlements &amp; infrastructure", 7, "Other natural disturbances"), "")</f>
        <v/>
      </c>
      <c r="M21" s="10">
        <f>_xlfn.LET(_xlpm.x, scenarios!M20, IF(OR(ISERROR(_xlpm.x), _xlpm.x=0), "", _xlpm.x))</f>
        <v>2020</v>
      </c>
      <c r="N21" s="10" t="b">
        <f>_xlfn.LET(_xlpm.x, scenarios!N20, IF(OR(ISERROR(_xlpm.x), _xlpm.x=0), "", _xlpm.x))</f>
        <v>1</v>
      </c>
      <c r="O21" s="10" t="str">
        <f>_xlfn.LET(_xlpm.x, scenarios!O20, IF(OR(ISERROR(_xlpm.x), _xlpm.x=0), "", _xlpm.x))</f>
        <v/>
      </c>
      <c r="P21" s="10" t="str">
        <f>_xlfn.LET(_xlpm.x, scenarios!P20, IF(OR(ISERROR(_xlpm.x), _xlpm.x=0), "", _xlpm.x))</f>
        <v/>
      </c>
      <c r="Q21" s="10" t="str">
        <f>_xlfn.LET(_xlpm.x, scenarios!Q20, IF(OR(ISERROR(_xlpm.x), _xlpm.x=0), "", _xlpm.x))</f>
        <v/>
      </c>
      <c r="R21" s="10" t="str">
        <f>_xlfn.LET(_xlpm.x, scenarios!R20, IF(OR(ISERROR(_xlpm.x), _xlpm.x=0), "", _xlpm.x))</f>
        <v/>
      </c>
    </row>
    <row r="22" spans="1:23" s="13" customFormat="1" x14ac:dyDescent="0.3">
      <c r="A22" s="12">
        <v>20</v>
      </c>
      <c r="B22" s="13" t="str" cm="1">
        <f t="array" ref="B22">_xlfn.LET(_xlpm.x, VLOOKUP($A22,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2" s="13" t="str" cm="1">
        <f t="array" ref="C22">_xlfn.LET(_xlpm.x, VLOOKUP($A22,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2" s="13" t="str" cm="1">
        <f t="array" ref="D22">_xlfn.LET(_xlpm.x, VLOOKUP($A22,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2" s="13" t="str" cm="1">
        <f t="array" ref="E22">_xlfn.LET(_xlpm.x, VLOOKUP($A22,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2" s="13" t="str" cm="1">
        <f t="array" ref="F22">_xlfn.LET(_xlpm.x, VLOOKUP($A22,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2" s="13" t="str" cm="1">
        <f t="array" ref="G22">_xlfn.LET(_xlpm.x, VLOOKUP($A22,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2" s="13" t="str" cm="1">
        <f t="array" ref="H22">_xlfn.LET(_xlpm.x, VLOOKUP($A22,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2" s="13" t="str" cm="1">
        <f t="array" ref="I22">_xlfn.LET(_xlpm.x, VLOOKUP($A22,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J22" s="13" t="str" cm="1">
        <f t="array" ref="J22">_xlfn.LET(_xlpm.x, VLOOKUP($A22,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K22" s="13" t="str" cm="1">
        <f t="array" ref="K22">_xlfn.LET(_xlpm.x, VLOOKUP($A22,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L22" s="13" t="str" cm="1">
        <f t="array" ref="L22">IFERROR(_xlfn.SWITCH(VLOOKUP($A22, scenarios!$A$2:$P$109, L$1, 0), 1, "Permanent agriculture", 2, "Hard commodities", 3, "Shifting cultivation", 4, "Logging", 5, "Wildfire", 6, "Settlements &amp; infrastructure", 7, "Other natural disturbances"), "")</f>
        <v/>
      </c>
      <c r="M22" s="13">
        <f>_xlfn.LET(_xlpm.x, scenarios!M21, IF(OR(ISERROR(_xlpm.x), _xlpm.x=0), "", _xlpm.x))</f>
        <v>2020</v>
      </c>
      <c r="N22" s="13" t="str">
        <f>_xlfn.LET(_xlpm.x, scenarios!N21, IF(OR(ISERROR(_xlpm.x), _xlpm.x=0), "", _xlpm.x))</f>
        <v/>
      </c>
      <c r="O22" s="13" t="b">
        <f>_xlfn.LET(_xlpm.x, scenarios!O21, IF(OR(ISERROR(_xlpm.x), _xlpm.x=0), "", _xlpm.x))</f>
        <v>1</v>
      </c>
      <c r="P22" s="13" t="str">
        <f>_xlfn.LET(_xlpm.x, scenarios!P21, IF(OR(ISERROR(_xlpm.x), _xlpm.x=0), "", _xlpm.x))</f>
        <v/>
      </c>
      <c r="Q22" s="13" t="str">
        <f>_xlfn.LET(_xlpm.x, scenarios!Q21, IF(OR(ISERROR(_xlpm.x), _xlpm.x=0), "", _xlpm.x))</f>
        <v/>
      </c>
      <c r="R22" s="13" t="str">
        <f>_xlfn.LET(_xlpm.x, scenarios!R21, IF(OR(ISERROR(_xlpm.x), _xlpm.x=0), "", _xlpm.x))</f>
        <v/>
      </c>
    </row>
    <row r="23" spans="1:23" x14ac:dyDescent="0.3">
      <c r="A23" s="5">
        <v>21</v>
      </c>
      <c r="B23" t="str" cm="1">
        <f t="array" ref="B23">_xlfn.LET(_xlpm.x, VLOOKUP($A23,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C23" t="str" cm="1">
        <f t="array" ref="C23">_xlfn.LET(_xlpm.x, VLOOKUP($A23,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D23" t="str" cm="1">
        <f t="array" ref="D23">_xlfn.LET(_xlpm.x, VLOOKUP($A23,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E23" t="str" cm="1">
        <f t="array" ref="E23">_xlfn.LET(_xlpm.x, VLOOKUP($A23,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23" t="str" cm="1">
        <f t="array" ref="F23">_xlfn.LET(_xlpm.x, VLOOKUP($A23,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G23" t="str" cm="1">
        <f t="array" ref="G23">_xlfn.LET(_xlpm.x, VLOOKUP($A23,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H23" t="str" cm="1">
        <f t="array" ref="H23">_xlfn.LET(_xlpm.x, VLOOKUP($A23,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I23" t="str" cm="1">
        <f t="array" ref="I23">_xlfn.LET(_xlpm.x, VLOOKUP($A23,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3" t="str" cm="1">
        <f t="array" ref="J23">_xlfn.LET(_xlpm.x, VLOOKUP($A23,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3" t="str" cm="1">
        <f t="array" ref="K23">_xlfn.LET(_xlpm.x, VLOOKUP($A23,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3" t="str" cm="1">
        <f t="array" ref="L23">IFERROR(_xlfn.SWITCH(VLOOKUP($A23, scenarios!$A$2:$P$109, L$1, 0), 1, "Permanent agriculture", 2, "Hard commodities", 3, "Shifting cultivation", 4, "Logging", 5, "Wildfire", 6, "Settlements &amp; infrastructure", 7, "Other natural disturbances"), "")</f>
        <v/>
      </c>
      <c r="M23" t="str">
        <f>_xlfn.LET(_xlpm.x, scenarios!M22, IF(OR(ISERROR(_xlpm.x), _xlpm.x=0), "", _xlpm.x))</f>
        <v/>
      </c>
      <c r="N23" t="str">
        <f>_xlfn.LET(_xlpm.x, scenarios!N22, IF(OR(ISERROR(_xlpm.x), _xlpm.x=0), "", _xlpm.x))</f>
        <v/>
      </c>
      <c r="O23" t="str">
        <f>_xlfn.LET(_xlpm.x, scenarios!O22, IF(OR(ISERROR(_xlpm.x), _xlpm.x=0), "", _xlpm.x))</f>
        <v/>
      </c>
      <c r="P23" t="str">
        <f>_xlfn.LET(_xlpm.x, scenarios!P22, IF(OR(ISERROR(_xlpm.x), _xlpm.x=0), "", _xlpm.x))</f>
        <v/>
      </c>
      <c r="Q23" t="str">
        <f>_xlfn.LET(_xlpm.x, scenarios!Q22, IF(OR(ISERROR(_xlpm.x), _xlpm.x=0), "", _xlpm.x))</f>
        <v/>
      </c>
      <c r="R23" t="str">
        <f>_xlfn.LET(_xlpm.x, scenarios!R22, IF(OR(ISERROR(_xlpm.x), _xlpm.x=0), "", _xlpm.x))</f>
        <v/>
      </c>
      <c r="W23" s="6"/>
    </row>
    <row r="24" spans="1:23" x14ac:dyDescent="0.3">
      <c r="A24" s="5">
        <v>22</v>
      </c>
      <c r="B24" t="str" cm="1">
        <f t="array" ref="B24">_xlfn.LET(_xlpm.x, VLOOKUP($A24,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4" t="str" cm="1">
        <f t="array" ref="C24">_xlfn.LET(_xlpm.x, VLOOKUP($A24,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4" t="str" cm="1">
        <f t="array" ref="D24">_xlfn.LET(_xlpm.x, VLOOKUP($A24,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4" t="str" cm="1">
        <f t="array" ref="E24">_xlfn.LET(_xlpm.x, VLOOKUP($A24,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4" t="str" cm="1">
        <f t="array" ref="F24">_xlfn.LET(_xlpm.x, VLOOKUP($A24,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4" t="str" cm="1">
        <f t="array" ref="G24">_xlfn.LET(_xlpm.x, VLOOKUP($A24,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4" t="str" cm="1">
        <f t="array" ref="H24">_xlfn.LET(_xlpm.x, VLOOKUP($A24,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4" t="str" cm="1">
        <f t="array" ref="I24">_xlfn.LET(_xlpm.x, VLOOKUP($A24,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4" t="str" cm="1">
        <f t="array" ref="J24">_xlfn.LET(_xlpm.x, VLOOKUP($A24,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4" t="str" cm="1">
        <f t="array" ref="K24">_xlfn.LET(_xlpm.x, VLOOKUP($A24,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4" t="str" cm="1">
        <f t="array" ref="L24">IFERROR(_xlfn.SWITCH(VLOOKUP($A24, scenarios!$A$2:$P$109, L$1, 0), 1, "Permanent agriculture", 2, "Hard commodities", 3, "Shifting cultivation", 4, "Logging", 5, "Wildfire", 6, "Settlements &amp; infrastructure", 7, "Other natural disturbances"), "")</f>
        <v/>
      </c>
      <c r="M24" t="str">
        <f>_xlfn.LET(_xlpm.x, scenarios!M23, IF(OR(ISERROR(_xlpm.x), _xlpm.x=0), "", _xlpm.x))</f>
        <v/>
      </c>
      <c r="N24" t="str">
        <f>_xlfn.LET(_xlpm.x, scenarios!N23, IF(OR(ISERROR(_xlpm.x), _xlpm.x=0), "", _xlpm.x))</f>
        <v/>
      </c>
      <c r="O24" t="str">
        <f>_xlfn.LET(_xlpm.x, scenarios!O23, IF(OR(ISERROR(_xlpm.x), _xlpm.x=0), "", _xlpm.x))</f>
        <v/>
      </c>
      <c r="P24" t="str">
        <f>_xlfn.LET(_xlpm.x, scenarios!P23, IF(OR(ISERROR(_xlpm.x), _xlpm.x=0), "", _xlpm.x))</f>
        <v/>
      </c>
      <c r="Q24" t="str">
        <f>_xlfn.LET(_xlpm.x, scenarios!Q23, IF(OR(ISERROR(_xlpm.x), _xlpm.x=0), "", _xlpm.x))</f>
        <v/>
      </c>
      <c r="R24" t="str">
        <f>_xlfn.LET(_xlpm.x, scenarios!R23, IF(OR(ISERROR(_xlpm.x), _xlpm.x=0), "", _xlpm.x))</f>
        <v/>
      </c>
      <c r="W24" s="6"/>
    </row>
    <row r="25" spans="1:23" x14ac:dyDescent="0.3">
      <c r="A25" s="5">
        <v>23</v>
      </c>
      <c r="B25" t="str" cm="1">
        <f t="array" ref="B25">_xlfn.LET(_xlpm.x, VLOOKUP($A25,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5" t="str" cm="1">
        <f t="array" ref="C25">_xlfn.LET(_xlpm.x, VLOOKUP($A25,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5" t="str" cm="1">
        <f t="array" ref="D25">_xlfn.LET(_xlpm.x, VLOOKUP($A25,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5" t="str" cm="1">
        <f t="array" ref="E25">_xlfn.LET(_xlpm.x, VLOOKUP($A25,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5" t="str" cm="1">
        <f t="array" ref="F25">_xlfn.LET(_xlpm.x, VLOOKUP($A25,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5" t="str" cm="1">
        <f t="array" ref="G25">_xlfn.LET(_xlpm.x, VLOOKUP($A25,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5" t="str" cm="1">
        <f t="array" ref="H25">_xlfn.LET(_xlpm.x, VLOOKUP($A25,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5" t="str" cm="1">
        <f t="array" ref="I25">_xlfn.LET(_xlpm.x, VLOOKUP($A25,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5" t="str" cm="1">
        <f t="array" ref="J25">_xlfn.LET(_xlpm.x, VLOOKUP($A25,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5" t="str" cm="1">
        <f t="array" ref="K25">_xlfn.LET(_xlpm.x, VLOOKUP($A25,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5" t="str" cm="1">
        <f t="array" ref="L25">IFERROR(_xlfn.SWITCH(VLOOKUP($A25, scenarios!$A$2:$P$109, L$1, 0), 1, "Permanent agriculture", 2, "Hard commodities", 3, "Shifting cultivation", 4, "Logging", 5, "Wildfire", 6, "Settlements &amp; infrastructure", 7, "Other natural disturbances"), "")</f>
        <v>Shifting cultivation</v>
      </c>
      <c r="M25">
        <f>_xlfn.LET(_xlpm.x, scenarios!M24, IF(OR(ISERROR(_xlpm.x), _xlpm.x=0), "", _xlpm.x))</f>
        <v>2021</v>
      </c>
      <c r="N25" t="str">
        <f>_xlfn.LET(_xlpm.x, scenarios!N24, IF(OR(ISERROR(_xlpm.x), _xlpm.x=0), "", _xlpm.x))</f>
        <v/>
      </c>
      <c r="O25" t="str">
        <f>_xlfn.LET(_xlpm.x, scenarios!O24, IF(OR(ISERROR(_xlpm.x), _xlpm.x=0), "", _xlpm.x))</f>
        <v/>
      </c>
      <c r="P25" t="str">
        <f>_xlfn.LET(_xlpm.x, scenarios!P24, IF(OR(ISERROR(_xlpm.x), _xlpm.x=0), "", _xlpm.x))</f>
        <v/>
      </c>
      <c r="Q25" t="str">
        <f>_xlfn.LET(_xlpm.x, scenarios!Q24, IF(OR(ISERROR(_xlpm.x), _xlpm.x=0), "", _xlpm.x))</f>
        <v/>
      </c>
      <c r="R25" t="str">
        <f>_xlfn.LET(_xlpm.x, scenarios!R24, IF(OR(ISERROR(_xlpm.x), _xlpm.x=0), "", _xlpm.x))</f>
        <v/>
      </c>
    </row>
    <row r="26" spans="1:23" x14ac:dyDescent="0.3">
      <c r="A26" s="5">
        <v>24</v>
      </c>
      <c r="B26" t="str" cm="1">
        <f t="array" ref="B26">_xlfn.LET(_xlpm.x, VLOOKUP($A26,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6" t="str" cm="1">
        <f t="array" ref="C26">_xlfn.LET(_xlpm.x, VLOOKUP($A26,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6" t="str" cm="1">
        <f t="array" ref="D26">_xlfn.LET(_xlpm.x, VLOOKUP($A26,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6" t="str" cm="1">
        <f t="array" ref="E26">_xlfn.LET(_xlpm.x, VLOOKUP($A26,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6" t="str" cm="1">
        <f t="array" ref="F26">_xlfn.LET(_xlpm.x, VLOOKUP($A26,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6" t="str" cm="1">
        <f t="array" ref="G26">_xlfn.LET(_xlpm.x, VLOOKUP($A26,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6" t="str" cm="1">
        <f t="array" ref="H26">_xlfn.LET(_xlpm.x, VLOOKUP($A26,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6" t="str" cm="1">
        <f t="array" ref="I26">_xlfn.LET(_xlpm.x, VLOOKUP($A26,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J26" t="str" cm="1">
        <f t="array" ref="J26">_xlfn.LET(_xlpm.x, VLOOKUP($A26,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K26" t="str" cm="1">
        <f t="array" ref="K26">_xlfn.LET(_xlpm.x, VLOOKUP($A26,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L26" t="str" cm="1">
        <f t="array" ref="L26">IFERROR(_xlfn.SWITCH(VLOOKUP($A26, scenarios!$A$2:$P$109, L$1, 0), 1, "Permanent agriculture", 2, "Hard commodities", 3, "Shifting cultivation", 4, "Logging", 5, "Wildfire", 6, "Settlements &amp; infrastructure", 7, "Other natural disturbances"), "")</f>
        <v/>
      </c>
      <c r="M26" t="str">
        <f>_xlfn.LET(_xlpm.x, scenarios!M25, IF(OR(ISERROR(_xlpm.x), _xlpm.x=0), "", _xlpm.x))</f>
        <v/>
      </c>
      <c r="N26" t="str">
        <f>_xlfn.LET(_xlpm.x, scenarios!N25, IF(OR(ISERROR(_xlpm.x), _xlpm.x=0), "", _xlpm.x))</f>
        <v/>
      </c>
      <c r="O26" t="str">
        <f>_xlfn.LET(_xlpm.x, scenarios!O25, IF(OR(ISERROR(_xlpm.x), _xlpm.x=0), "", _xlpm.x))</f>
        <v/>
      </c>
      <c r="P26" t="str">
        <f>_xlfn.LET(_xlpm.x, scenarios!P25, IF(OR(ISERROR(_xlpm.x), _xlpm.x=0), "", _xlpm.x))</f>
        <v/>
      </c>
      <c r="Q26" t="str">
        <f>_xlfn.LET(_xlpm.x, scenarios!Q25, IF(OR(ISERROR(_xlpm.x), _xlpm.x=0), "", _xlpm.x))</f>
        <v/>
      </c>
      <c r="R26" t="str">
        <f>_xlfn.LET(_xlpm.x, scenarios!R25, IF(OR(ISERROR(_xlpm.x), _xlpm.x=0), "", _xlpm.x))</f>
        <v/>
      </c>
    </row>
    <row r="27" spans="1:23" x14ac:dyDescent="0.3">
      <c r="A27" s="5">
        <v>25</v>
      </c>
      <c r="B27" t="str" cm="1">
        <f t="array" ref="B27">_xlfn.LET(_xlpm.x, VLOOKUP($A27,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7" t="str" cm="1">
        <f t="array" ref="C27">_xlfn.LET(_xlpm.x, VLOOKUP($A27,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7" t="str" cm="1">
        <f t="array" ref="D27">_xlfn.LET(_xlpm.x, VLOOKUP($A27,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7" t="str" cm="1">
        <f t="array" ref="E27">_xlfn.LET(_xlpm.x, VLOOKUP($A27,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F27" t="str" cm="1">
        <f t="array" ref="F27">_xlfn.LET(_xlpm.x, VLOOKUP($A27,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7" t="str" cm="1">
        <f t="array" ref="G27">_xlfn.LET(_xlpm.x, VLOOKUP($A27,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7" t="str" cm="1">
        <f t="array" ref="H27">_xlfn.LET(_xlpm.x, VLOOKUP($A27,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7" t="str" cm="1">
        <f t="array" ref="I27">_xlfn.LET(_xlpm.x, VLOOKUP($A27,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J27" t="str" cm="1">
        <f t="array" ref="J27">_xlfn.LET(_xlpm.x, VLOOKUP($A27,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K27" t="str" cm="1">
        <f t="array" ref="K27">_xlfn.LET(_xlpm.x, VLOOKUP($A27,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cropland</v>
      </c>
      <c r="L27" t="str" cm="1">
        <f t="array" ref="L27">IFERROR(_xlfn.SWITCH(VLOOKUP($A27, scenarios!$A$2:$P$109, L$1, 0), 1, "Permanent agriculture", 2, "Hard commodities", 3, "Shifting cultivation", 4, "Logging", 5, "Wildfire", 6, "Settlements &amp; infrastructure", 7, "Other natural disturbances"), "")</f>
        <v>Shifting cultivation</v>
      </c>
      <c r="M27">
        <f>_xlfn.LET(_xlpm.x, scenarios!M26, IF(OR(ISERROR(_xlpm.x), _xlpm.x=0), "", _xlpm.x))</f>
        <v>2021</v>
      </c>
      <c r="N27" t="str">
        <f>_xlfn.LET(_xlpm.x, scenarios!N26, IF(OR(ISERROR(_xlpm.x), _xlpm.x=0), "", _xlpm.x))</f>
        <v/>
      </c>
      <c r="O27" t="str">
        <f>_xlfn.LET(_xlpm.x, scenarios!O26, IF(OR(ISERROR(_xlpm.x), _xlpm.x=0), "", _xlpm.x))</f>
        <v/>
      </c>
      <c r="P27" t="str">
        <f>_xlfn.LET(_xlpm.x, scenarios!P26, IF(OR(ISERROR(_xlpm.x), _xlpm.x=0), "", _xlpm.x))</f>
        <v/>
      </c>
      <c r="Q27" t="str">
        <f>_xlfn.LET(_xlpm.x, scenarios!Q26, IF(OR(ISERROR(_xlpm.x), _xlpm.x=0), "", _xlpm.x))</f>
        <v/>
      </c>
      <c r="R27" t="str">
        <f>_xlfn.LET(_xlpm.x, scenarios!R26, IF(OR(ISERROR(_xlpm.x), _xlpm.x=0), "", _xlpm.x))</f>
        <v/>
      </c>
    </row>
    <row r="28" spans="1:23" x14ac:dyDescent="0.3">
      <c r="A28" s="5">
        <v>26</v>
      </c>
      <c r="B28" t="str" cm="1">
        <f t="array" ref="B28">_xlfn.LET(_xlpm.x, VLOOKUP($A28,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C28" t="str" cm="1">
        <f t="array" ref="C28">_xlfn.LET(_xlpm.x, VLOOKUP($A28,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D28" t="str" cm="1">
        <f t="array" ref="D28">_xlfn.LET(_xlpm.x, VLOOKUP($A28,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E28" t="str" cm="1">
        <f t="array" ref="E28">_xlfn.LET(_xlpm.x, VLOOKUP($A28,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F28" t="str" cm="1">
        <f t="array" ref="F28">_xlfn.LET(_xlpm.x, VLOOKUP($A28,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G28" t="str" cm="1">
        <f t="array" ref="G28">_xlfn.LET(_xlpm.x, VLOOKUP($A28,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H28" t="str" cm="1">
        <f t="array" ref="H28">_xlfn.LET(_xlpm.x, VLOOKUP($A28,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tall veg</v>
      </c>
      <c r="I28" t="str" cm="1">
        <f t="array" ref="I28">_xlfn.LET(_xlpm.x, VLOOKUP($A28,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J28" t="str" cm="1">
        <f t="array" ref="J28">_xlfn.LET(_xlpm.x, VLOOKUP($A28,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K28" t="str" cm="1">
        <f t="array" ref="K28">_xlfn.LET(_xlpm.x, VLOOKUP($A28,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short veg</v>
      </c>
      <c r="L28" t="str" cm="1">
        <f t="array" ref="L28">IFERROR(_xlfn.SWITCH(VLOOKUP($A28, scenarios!$A$2:$P$109, L$1, 0), 1, "Permanent agriculture", 2, "Hard commodities", 3, "Shifting cultivation", 4, "Logging", 5, "Wildfire", 6, "Settlements &amp; infrastructure", 7, "Other natural disturbances"), "")</f>
        <v/>
      </c>
      <c r="M28" t="str">
        <f>_xlfn.LET(_xlpm.x, scenarios!M27, IF(OR(ISERROR(_xlpm.x), _xlpm.x=0), "", _xlpm.x))</f>
        <v/>
      </c>
      <c r="N28" t="str">
        <f>_xlfn.LET(_xlpm.x, scenarios!N27, IF(OR(ISERROR(_xlpm.x), _xlpm.x=0), "", _xlpm.x))</f>
        <v/>
      </c>
      <c r="O28" t="str">
        <f>_xlfn.LET(_xlpm.x, scenarios!O27, IF(OR(ISERROR(_xlpm.x), _xlpm.x=0), "", _xlpm.x))</f>
        <v/>
      </c>
      <c r="P28" t="str">
        <f>_xlfn.LET(_xlpm.x, scenarios!P27, IF(OR(ISERROR(_xlpm.x), _xlpm.x=0), "", _xlpm.x))</f>
        <v/>
      </c>
      <c r="Q28" t="str">
        <f>_xlfn.LET(_xlpm.x, scenarios!Q27, IF(OR(ISERROR(_xlpm.x), _xlpm.x=0), "", _xlpm.x))</f>
        <v/>
      </c>
      <c r="R28" t="str">
        <f>_xlfn.LET(_xlpm.x, scenarios!R27, IF(OR(ISERROR(_xlpm.x), _xlpm.x=0), "", _xlpm.x))</f>
        <v/>
      </c>
    </row>
    <row r="29" spans="1:23" x14ac:dyDescent="0.3">
      <c r="A29" s="5">
        <v>27</v>
      </c>
      <c r="B29" t="e" cm="1">
        <f t="array" ref="B29">_xlfn.LET(_xlpm.x, VLOOKUP($A29,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29" t="e" cm="1">
        <f t="array" ref="C29">_xlfn.LET(_xlpm.x, VLOOKUP($A29,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29" t="e" cm="1">
        <f t="array" ref="D29">_xlfn.LET(_xlpm.x, VLOOKUP($A29,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29" t="e" cm="1">
        <f t="array" ref="E29">_xlfn.LET(_xlpm.x, VLOOKUP($A29,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29" t="e" cm="1">
        <f t="array" ref="F29">_xlfn.LET(_xlpm.x, VLOOKUP($A29,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29" t="e" cm="1">
        <f t="array" ref="G29">_xlfn.LET(_xlpm.x, VLOOKUP($A29,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29" t="e" cm="1">
        <f t="array" ref="H29">_xlfn.LET(_xlpm.x, VLOOKUP($A29,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29" t="e" cm="1">
        <f t="array" ref="I29">_xlfn.LET(_xlpm.x, VLOOKUP($A29,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29" t="e" cm="1">
        <f t="array" ref="J29">_xlfn.LET(_xlpm.x, VLOOKUP($A29,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29" t="e" cm="1">
        <f t="array" ref="K29">_xlfn.LET(_xlpm.x, VLOOKUP($A29,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29" t="str" cm="1">
        <f t="array" ref="L29">IFERROR(_xlfn.SWITCH(VLOOKUP($A29, scenarios!$A$2:$P$109, L$1, 0), 1, "Permanent agriculture", 2, "Hard commodities", 3, "Shifting cultivation", 4, "Logging", 5, "Wildfire", 6, "Settlements &amp; infrastructure", 7, "Other natural disturbances"), "")</f>
        <v/>
      </c>
      <c r="M29" t="str">
        <f>_xlfn.LET(_xlpm.x, scenarios!M28, IF(OR(ISERROR(_xlpm.x), _xlpm.x=0), "", _xlpm.x))</f>
        <v/>
      </c>
      <c r="N29" t="str">
        <f>_xlfn.LET(_xlpm.x, scenarios!N28, IF(OR(ISERROR(_xlpm.x), _xlpm.x=0), "", _xlpm.x))</f>
        <v/>
      </c>
      <c r="O29" t="str">
        <f>_xlfn.LET(_xlpm.x, scenarios!O28, IF(OR(ISERROR(_xlpm.x), _xlpm.x=0), "", _xlpm.x))</f>
        <v/>
      </c>
      <c r="P29" t="str">
        <f>_xlfn.LET(_xlpm.x, scenarios!P28, IF(OR(ISERROR(_xlpm.x), _xlpm.x=0), "", _xlpm.x))</f>
        <v/>
      </c>
      <c r="Q29" t="str">
        <f>_xlfn.LET(_xlpm.x, scenarios!Q28, IF(OR(ISERROR(_xlpm.x), _xlpm.x=0), "", _xlpm.x))</f>
        <v/>
      </c>
      <c r="R29" t="str">
        <f>_xlfn.LET(_xlpm.x, scenarios!R28, IF(OR(ISERROR(_xlpm.x), _xlpm.x=0), "", _xlpm.x))</f>
        <v/>
      </c>
    </row>
    <row r="30" spans="1:23" x14ac:dyDescent="0.3">
      <c r="A30" s="5">
        <v>28</v>
      </c>
      <c r="B30" t="e" cm="1">
        <f t="array" ref="B30">_xlfn.LET(_xlpm.x, VLOOKUP($A30,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0" t="e" cm="1">
        <f t="array" ref="C30">_xlfn.LET(_xlpm.x, VLOOKUP($A30,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0" t="e" cm="1">
        <f t="array" ref="D30">_xlfn.LET(_xlpm.x, VLOOKUP($A30,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0" t="e" cm="1">
        <f t="array" ref="E30">_xlfn.LET(_xlpm.x, VLOOKUP($A30,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0" t="e" cm="1">
        <f t="array" ref="F30">_xlfn.LET(_xlpm.x, VLOOKUP($A30,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0" t="e" cm="1">
        <f t="array" ref="G30">_xlfn.LET(_xlpm.x, VLOOKUP($A30,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0" t="e" cm="1">
        <f t="array" ref="H30">_xlfn.LET(_xlpm.x, VLOOKUP($A30,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0" t="e" cm="1">
        <f t="array" ref="I30">_xlfn.LET(_xlpm.x, VLOOKUP($A30,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0" t="e" cm="1">
        <f t="array" ref="J30">_xlfn.LET(_xlpm.x, VLOOKUP($A30,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0" t="e" cm="1">
        <f t="array" ref="K30">_xlfn.LET(_xlpm.x, VLOOKUP($A30,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0" t="str" cm="1">
        <f t="array" ref="L30">IFERROR(_xlfn.SWITCH(VLOOKUP($A30, scenarios!$A$2:$P$109, L$1, 0), 1, "Permanent agriculture", 2, "Hard commodities", 3, "Shifting cultivation", 4, "Logging", 5, "Wildfire", 6, "Settlements &amp; infrastructure", 7, "Other natural disturbances"), "")</f>
        <v/>
      </c>
      <c r="M30" t="str">
        <f>_xlfn.LET(_xlpm.x, scenarios!M29, IF(OR(ISERROR(_xlpm.x), _xlpm.x=0), "", _xlpm.x))</f>
        <v/>
      </c>
      <c r="N30" t="str">
        <f>_xlfn.LET(_xlpm.x, scenarios!N29, IF(OR(ISERROR(_xlpm.x), _xlpm.x=0), "", _xlpm.x))</f>
        <v/>
      </c>
      <c r="O30" t="str">
        <f>_xlfn.LET(_xlpm.x, scenarios!O29, IF(OR(ISERROR(_xlpm.x), _xlpm.x=0), "", _xlpm.x))</f>
        <v/>
      </c>
      <c r="P30" t="str">
        <f>_xlfn.LET(_xlpm.x, scenarios!P29, IF(OR(ISERROR(_xlpm.x), _xlpm.x=0), "", _xlpm.x))</f>
        <v/>
      </c>
      <c r="Q30" t="str">
        <f>_xlfn.LET(_xlpm.x, scenarios!Q29, IF(OR(ISERROR(_xlpm.x), _xlpm.x=0), "", _xlpm.x))</f>
        <v/>
      </c>
      <c r="R30" t="str">
        <f>_xlfn.LET(_xlpm.x, scenarios!R29, IF(OR(ISERROR(_xlpm.x), _xlpm.x=0), "", _xlpm.x))</f>
        <v/>
      </c>
    </row>
    <row r="31" spans="1:23" x14ac:dyDescent="0.3">
      <c r="A31" s="5">
        <v>29</v>
      </c>
      <c r="B31" t="e" cm="1">
        <f t="array" ref="B31">_xlfn.LET(_xlpm.x, VLOOKUP($A31,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1" t="e" cm="1">
        <f t="array" ref="C31">_xlfn.LET(_xlpm.x, VLOOKUP($A31,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1" t="e" cm="1">
        <f t="array" ref="D31">_xlfn.LET(_xlpm.x, VLOOKUP($A31,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1" t="e" cm="1">
        <f t="array" ref="E31">_xlfn.LET(_xlpm.x, VLOOKUP($A31,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1" t="e" cm="1">
        <f t="array" ref="F31">_xlfn.LET(_xlpm.x, VLOOKUP($A31,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1" t="e" cm="1">
        <f t="array" ref="G31">_xlfn.LET(_xlpm.x, VLOOKUP($A31,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1" t="e" cm="1">
        <f t="array" ref="H31">_xlfn.LET(_xlpm.x, VLOOKUP($A31,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1" t="e" cm="1">
        <f t="array" ref="I31">_xlfn.LET(_xlpm.x, VLOOKUP($A31,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1" t="e" cm="1">
        <f t="array" ref="J31">_xlfn.LET(_xlpm.x, VLOOKUP($A31,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1" t="e" cm="1">
        <f t="array" ref="K31">_xlfn.LET(_xlpm.x, VLOOKUP($A31,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1" t="str" cm="1">
        <f t="array" ref="L31">IFERROR(_xlfn.SWITCH(VLOOKUP($A31, scenarios!$A$2:$P$109, L$1, 0), 1, "Permanent agriculture", 2, "Hard commodities", 3, "Shifting cultivation", 4, "Logging", 5, "Wildfire", 6, "Settlements &amp; infrastructure", 7, "Other natural disturbances"), "")</f>
        <v/>
      </c>
      <c r="M31" t="str">
        <f>_xlfn.LET(_xlpm.x, scenarios!M30, IF(OR(ISERROR(_xlpm.x), _xlpm.x=0), "", _xlpm.x))</f>
        <v/>
      </c>
      <c r="N31" t="str">
        <f>_xlfn.LET(_xlpm.x, scenarios!N30, IF(OR(ISERROR(_xlpm.x), _xlpm.x=0), "", _xlpm.x))</f>
        <v/>
      </c>
      <c r="O31" t="str">
        <f>_xlfn.LET(_xlpm.x, scenarios!O30, IF(OR(ISERROR(_xlpm.x), _xlpm.x=0), "", _xlpm.x))</f>
        <v/>
      </c>
      <c r="P31" t="str">
        <f>_xlfn.LET(_xlpm.x, scenarios!P30, IF(OR(ISERROR(_xlpm.x), _xlpm.x=0), "", _xlpm.x))</f>
        <v/>
      </c>
      <c r="Q31" t="str">
        <f>_xlfn.LET(_xlpm.x, scenarios!Q30, IF(OR(ISERROR(_xlpm.x), _xlpm.x=0), "", _xlpm.x))</f>
        <v/>
      </c>
      <c r="R31" t="str">
        <f>_xlfn.LET(_xlpm.x, scenarios!R30, IF(OR(ISERROR(_xlpm.x), _xlpm.x=0), "", _xlpm.x))</f>
        <v/>
      </c>
    </row>
    <row r="32" spans="1:23" x14ac:dyDescent="0.3">
      <c r="A32" s="5">
        <v>30</v>
      </c>
      <c r="B32" t="e" cm="1">
        <f t="array" ref="B32">_xlfn.LET(_xlpm.x, VLOOKUP($A32,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2" t="e" cm="1">
        <f t="array" ref="C32">_xlfn.LET(_xlpm.x, VLOOKUP($A32,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2" t="e" cm="1">
        <f t="array" ref="D32">_xlfn.LET(_xlpm.x, VLOOKUP($A32,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2" t="e" cm="1">
        <f t="array" ref="E32">_xlfn.LET(_xlpm.x, VLOOKUP($A32,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2" t="e" cm="1">
        <f t="array" ref="F32">_xlfn.LET(_xlpm.x, VLOOKUP($A32,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2" t="e" cm="1">
        <f t="array" ref="G32">_xlfn.LET(_xlpm.x, VLOOKUP($A32,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2" t="e" cm="1">
        <f t="array" ref="H32">_xlfn.LET(_xlpm.x, VLOOKUP($A32,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2" t="e" cm="1">
        <f t="array" ref="I32">_xlfn.LET(_xlpm.x, VLOOKUP($A32,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2" t="e" cm="1">
        <f t="array" ref="J32">_xlfn.LET(_xlpm.x, VLOOKUP($A32,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2" t="e" cm="1">
        <f t="array" ref="K32">_xlfn.LET(_xlpm.x, VLOOKUP($A32,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2" t="str" cm="1">
        <f t="array" ref="L32">IFERROR(_xlfn.SWITCH(VLOOKUP($A32, scenarios!$A$2:$P$109, L$1, 0), 1, "Permanent agriculture", 2, "Hard commodities", 3, "Shifting cultivation", 4, "Logging", 5, "Wildfire", 6, "Settlements &amp; infrastructure", 7, "Other natural disturbances"), "")</f>
        <v/>
      </c>
      <c r="M32" t="str">
        <f>_xlfn.LET(_xlpm.x, scenarios!M31, IF(OR(ISERROR(_xlpm.x), _xlpm.x=0), "", _xlpm.x))</f>
        <v/>
      </c>
      <c r="N32" t="str">
        <f>_xlfn.LET(_xlpm.x, scenarios!N31, IF(OR(ISERROR(_xlpm.x), _xlpm.x=0), "", _xlpm.x))</f>
        <v/>
      </c>
      <c r="O32" t="str">
        <f>_xlfn.LET(_xlpm.x, scenarios!O31, IF(OR(ISERROR(_xlpm.x), _xlpm.x=0), "", _xlpm.x))</f>
        <v/>
      </c>
      <c r="P32" t="str">
        <f>_xlfn.LET(_xlpm.x, scenarios!P31, IF(OR(ISERROR(_xlpm.x), _xlpm.x=0), "", _xlpm.x))</f>
        <v/>
      </c>
      <c r="Q32" t="str">
        <f>_xlfn.LET(_xlpm.x, scenarios!Q31, IF(OR(ISERROR(_xlpm.x), _xlpm.x=0), "", _xlpm.x))</f>
        <v/>
      </c>
      <c r="R32" t="str">
        <f>_xlfn.LET(_xlpm.x, scenarios!R31, IF(OR(ISERROR(_xlpm.x), _xlpm.x=0), "", _xlpm.x))</f>
        <v/>
      </c>
    </row>
    <row r="33" spans="1:18" x14ac:dyDescent="0.3">
      <c r="A33" s="5">
        <v>31</v>
      </c>
      <c r="B33" t="e" cm="1">
        <f t="array" ref="B33">_xlfn.LET(_xlpm.x, VLOOKUP($A33,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3" t="e" cm="1">
        <f t="array" ref="C33">_xlfn.LET(_xlpm.x, VLOOKUP($A33,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3" t="e" cm="1">
        <f t="array" ref="D33">_xlfn.LET(_xlpm.x, VLOOKUP($A33,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3" t="e" cm="1">
        <f t="array" ref="E33">_xlfn.LET(_xlpm.x, VLOOKUP($A33,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3" t="e" cm="1">
        <f t="array" ref="F33">_xlfn.LET(_xlpm.x, VLOOKUP($A33,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3" t="e" cm="1">
        <f t="array" ref="G33">_xlfn.LET(_xlpm.x, VLOOKUP($A33,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3" t="e" cm="1">
        <f t="array" ref="H33">_xlfn.LET(_xlpm.x, VLOOKUP($A33,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3" t="e" cm="1">
        <f t="array" ref="I33">_xlfn.LET(_xlpm.x, VLOOKUP($A33,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3" t="e" cm="1">
        <f t="array" ref="J33">_xlfn.LET(_xlpm.x, VLOOKUP($A33,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3" t="e" cm="1">
        <f t="array" ref="K33">_xlfn.LET(_xlpm.x, VLOOKUP($A33,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3" t="str" cm="1">
        <f t="array" ref="L33">IFERROR(_xlfn.SWITCH(VLOOKUP($A33, scenarios!$A$2:$P$109, L$1, 0), 1, "Permanent agriculture", 2, "Hard commodities", 3, "Shifting cultivation", 4, "Logging", 5, "Wildfire", 6, "Settlements &amp; infrastructure", 7, "Other natural disturbances"), "")</f>
        <v/>
      </c>
      <c r="M33" t="str">
        <f>_xlfn.LET(_xlpm.x, scenarios!M32, IF(OR(ISERROR(_xlpm.x), _xlpm.x=0), "", _xlpm.x))</f>
        <v/>
      </c>
      <c r="N33" t="str">
        <f>_xlfn.LET(_xlpm.x, scenarios!N32, IF(OR(ISERROR(_xlpm.x), _xlpm.x=0), "", _xlpm.x))</f>
        <v/>
      </c>
      <c r="O33" t="str">
        <f>_xlfn.LET(_xlpm.x, scenarios!O32, IF(OR(ISERROR(_xlpm.x), _xlpm.x=0), "", _xlpm.x))</f>
        <v/>
      </c>
      <c r="P33" t="str">
        <f>_xlfn.LET(_xlpm.x, scenarios!P32, IF(OR(ISERROR(_xlpm.x), _xlpm.x=0), "", _xlpm.x))</f>
        <v/>
      </c>
      <c r="Q33" t="str">
        <f>_xlfn.LET(_xlpm.x, scenarios!Q32, IF(OR(ISERROR(_xlpm.x), _xlpm.x=0), "", _xlpm.x))</f>
        <v/>
      </c>
      <c r="R33" t="str">
        <f>_xlfn.LET(_xlpm.x, scenarios!R32, IF(OR(ISERROR(_xlpm.x), _xlpm.x=0), "", _xlpm.x))</f>
        <v/>
      </c>
    </row>
    <row r="34" spans="1:18" x14ac:dyDescent="0.3">
      <c r="A34" s="5">
        <v>32</v>
      </c>
      <c r="B34" t="e" cm="1">
        <f t="array" ref="B34">_xlfn.LET(_xlpm.x, VLOOKUP($A34,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4" t="e" cm="1">
        <f t="array" ref="C34">_xlfn.LET(_xlpm.x, VLOOKUP($A34,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4" t="e" cm="1">
        <f t="array" ref="D34">_xlfn.LET(_xlpm.x, VLOOKUP($A34,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4" t="e" cm="1">
        <f t="array" ref="E34">_xlfn.LET(_xlpm.x, VLOOKUP($A34,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4" t="e" cm="1">
        <f t="array" ref="F34">_xlfn.LET(_xlpm.x, VLOOKUP($A34,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4" t="e" cm="1">
        <f t="array" ref="G34">_xlfn.LET(_xlpm.x, VLOOKUP($A34,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4" t="e" cm="1">
        <f t="array" ref="H34">_xlfn.LET(_xlpm.x, VLOOKUP($A34,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4" t="e" cm="1">
        <f t="array" ref="I34">_xlfn.LET(_xlpm.x, VLOOKUP($A34,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4" t="e" cm="1">
        <f t="array" ref="J34">_xlfn.LET(_xlpm.x, VLOOKUP($A34,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4" t="e" cm="1">
        <f t="array" ref="K34">_xlfn.LET(_xlpm.x, VLOOKUP($A34,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4" t="str" cm="1">
        <f t="array" ref="L34">IFERROR(_xlfn.SWITCH(VLOOKUP($A34, scenarios!$A$2:$P$109, L$1, 0), 1, "Permanent agriculture", 2, "Hard commodities", 3, "Shifting cultivation", 4, "Logging", 5, "Wildfire", 6, "Settlements &amp; infrastructure", 7, "Other natural disturbances"), "")</f>
        <v/>
      </c>
      <c r="M34" t="str">
        <f>_xlfn.LET(_xlpm.x, scenarios!M33, IF(OR(ISERROR(_xlpm.x), _xlpm.x=0), "", _xlpm.x))</f>
        <v/>
      </c>
      <c r="N34" t="str">
        <f>_xlfn.LET(_xlpm.x, scenarios!N33, IF(OR(ISERROR(_xlpm.x), _xlpm.x=0), "", _xlpm.x))</f>
        <v/>
      </c>
      <c r="O34" t="str">
        <f>_xlfn.LET(_xlpm.x, scenarios!O33, IF(OR(ISERROR(_xlpm.x), _xlpm.x=0), "", _xlpm.x))</f>
        <v/>
      </c>
      <c r="P34" t="str">
        <f>_xlfn.LET(_xlpm.x, scenarios!P33, IF(OR(ISERROR(_xlpm.x), _xlpm.x=0), "", _xlpm.x))</f>
        <v/>
      </c>
      <c r="Q34" t="str">
        <f>_xlfn.LET(_xlpm.x, scenarios!Q33, IF(OR(ISERROR(_xlpm.x), _xlpm.x=0), "", _xlpm.x))</f>
        <v/>
      </c>
      <c r="R34" t="str">
        <f>_xlfn.LET(_xlpm.x, scenarios!R33, IF(OR(ISERROR(_xlpm.x), _xlpm.x=0), "", _xlpm.x))</f>
        <v/>
      </c>
    </row>
    <row r="35" spans="1:18" x14ac:dyDescent="0.3">
      <c r="A35" s="5">
        <v>33</v>
      </c>
      <c r="B35" t="e" cm="1">
        <f t="array" ref="B35">_xlfn.LET(_xlpm.x, VLOOKUP($A35,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5" t="e" cm="1">
        <f t="array" ref="C35">_xlfn.LET(_xlpm.x, VLOOKUP($A35,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5" t="e" cm="1">
        <f t="array" ref="D35">_xlfn.LET(_xlpm.x, VLOOKUP($A35,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5" t="e" cm="1">
        <f t="array" ref="E35">_xlfn.LET(_xlpm.x, VLOOKUP($A35,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5" t="e" cm="1">
        <f t="array" ref="F35">_xlfn.LET(_xlpm.x, VLOOKUP($A35,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5" t="e" cm="1">
        <f t="array" ref="G35">_xlfn.LET(_xlpm.x, VLOOKUP($A35,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5" t="e" cm="1">
        <f t="array" ref="H35">_xlfn.LET(_xlpm.x, VLOOKUP($A35,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5" t="e" cm="1">
        <f t="array" ref="I35">_xlfn.LET(_xlpm.x, VLOOKUP($A35,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5" t="e" cm="1">
        <f t="array" ref="J35">_xlfn.LET(_xlpm.x, VLOOKUP($A35,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5" t="e" cm="1">
        <f t="array" ref="K35">_xlfn.LET(_xlpm.x, VLOOKUP($A35,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5" t="str" cm="1">
        <f t="array" ref="L35">IFERROR(_xlfn.SWITCH(VLOOKUP($A35, scenarios!$A$2:$P$109, L$1, 0), 1, "Permanent agriculture", 2, "Hard commodities", 3, "Shifting cultivation", 4, "Logging", 5, "Wildfire", 6, "Settlements &amp; infrastructure", 7, "Other natural disturbances"), "")</f>
        <v/>
      </c>
      <c r="M35" t="str">
        <f>_xlfn.LET(_xlpm.x, scenarios!M34, IF(OR(ISERROR(_xlpm.x), _xlpm.x=0), "", _xlpm.x))</f>
        <v/>
      </c>
      <c r="N35" t="str">
        <f>_xlfn.LET(_xlpm.x, scenarios!N34, IF(OR(ISERROR(_xlpm.x), _xlpm.x=0), "", _xlpm.x))</f>
        <v/>
      </c>
      <c r="O35" t="str">
        <f>_xlfn.LET(_xlpm.x, scenarios!O34, IF(OR(ISERROR(_xlpm.x), _xlpm.x=0), "", _xlpm.x))</f>
        <v/>
      </c>
      <c r="P35" t="str">
        <f>_xlfn.LET(_xlpm.x, scenarios!P34, IF(OR(ISERROR(_xlpm.x), _xlpm.x=0), "", _xlpm.x))</f>
        <v/>
      </c>
      <c r="Q35" t="str">
        <f>_xlfn.LET(_xlpm.x, scenarios!Q34, IF(OR(ISERROR(_xlpm.x), _xlpm.x=0), "", _xlpm.x))</f>
        <v/>
      </c>
      <c r="R35" t="str">
        <f>_xlfn.LET(_xlpm.x, scenarios!R34, IF(OR(ISERROR(_xlpm.x), _xlpm.x=0), "", _xlpm.x))</f>
        <v/>
      </c>
    </row>
    <row r="36" spans="1:18" x14ac:dyDescent="0.3">
      <c r="A36" s="5">
        <v>34</v>
      </c>
      <c r="B36" t="e" cm="1">
        <f t="array" ref="B36">_xlfn.LET(_xlpm.x, VLOOKUP($A36,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6" t="e" cm="1">
        <f t="array" ref="C36">_xlfn.LET(_xlpm.x, VLOOKUP($A36,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6" t="e" cm="1">
        <f t="array" ref="D36">_xlfn.LET(_xlpm.x, VLOOKUP($A36,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6" t="e" cm="1">
        <f t="array" ref="E36">_xlfn.LET(_xlpm.x, VLOOKUP($A36,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6" t="e" cm="1">
        <f t="array" ref="F36">_xlfn.LET(_xlpm.x, VLOOKUP($A36,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6" t="e" cm="1">
        <f t="array" ref="G36">_xlfn.LET(_xlpm.x, VLOOKUP($A36,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6" t="e" cm="1">
        <f t="array" ref="H36">_xlfn.LET(_xlpm.x, VLOOKUP($A36,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6" t="e" cm="1">
        <f t="array" ref="I36">_xlfn.LET(_xlpm.x, VLOOKUP($A36,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6" t="e" cm="1">
        <f t="array" ref="J36">_xlfn.LET(_xlpm.x, VLOOKUP($A36,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6" t="e" cm="1">
        <f t="array" ref="K36">_xlfn.LET(_xlpm.x, VLOOKUP($A36,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6" t="str" cm="1">
        <f t="array" ref="L36">IFERROR(_xlfn.SWITCH(VLOOKUP($A36, scenarios!$A$2:$P$109, L$1, 0), 1, "Permanent agriculture", 2, "Hard commodities", 3, "Shifting cultivation", 4, "Logging", 5, "Wildfire", 6, "Settlements &amp; infrastructure", 7, "Other natural disturbances"), "")</f>
        <v/>
      </c>
      <c r="M36" t="str">
        <f>_xlfn.LET(_xlpm.x, scenarios!M35, IF(OR(ISERROR(_xlpm.x), _xlpm.x=0), "", _xlpm.x))</f>
        <v/>
      </c>
      <c r="N36" t="str">
        <f>_xlfn.LET(_xlpm.x, scenarios!N35, IF(OR(ISERROR(_xlpm.x), _xlpm.x=0), "", _xlpm.x))</f>
        <v/>
      </c>
      <c r="O36" t="str">
        <f>_xlfn.LET(_xlpm.x, scenarios!O35, IF(OR(ISERROR(_xlpm.x), _xlpm.x=0), "", _xlpm.x))</f>
        <v/>
      </c>
      <c r="P36" t="str">
        <f>_xlfn.LET(_xlpm.x, scenarios!P35, IF(OR(ISERROR(_xlpm.x), _xlpm.x=0), "", _xlpm.x))</f>
        <v/>
      </c>
      <c r="Q36" t="str">
        <f>_xlfn.LET(_xlpm.x, scenarios!Q35, IF(OR(ISERROR(_xlpm.x), _xlpm.x=0), "", _xlpm.x))</f>
        <v/>
      </c>
      <c r="R36" t="str">
        <f>_xlfn.LET(_xlpm.x, scenarios!R35, IF(OR(ISERROR(_xlpm.x), _xlpm.x=0), "", _xlpm.x))</f>
        <v/>
      </c>
    </row>
    <row r="37" spans="1:18" x14ac:dyDescent="0.3">
      <c r="A37" s="5">
        <v>35</v>
      </c>
      <c r="B37" t="e" cm="1">
        <f t="array" ref="B37">_xlfn.LET(_xlpm.x, VLOOKUP($A37,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7" t="e" cm="1">
        <f t="array" ref="C37">_xlfn.LET(_xlpm.x, VLOOKUP($A37,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7" t="e" cm="1">
        <f t="array" ref="D37">_xlfn.LET(_xlpm.x, VLOOKUP($A37,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7" t="e" cm="1">
        <f t="array" ref="E37">_xlfn.LET(_xlpm.x, VLOOKUP($A37,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7" t="e" cm="1">
        <f t="array" ref="F37">_xlfn.LET(_xlpm.x, VLOOKUP($A37,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7" t="e" cm="1">
        <f t="array" ref="G37">_xlfn.LET(_xlpm.x, VLOOKUP($A37,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7" t="e" cm="1">
        <f t="array" ref="H37">_xlfn.LET(_xlpm.x, VLOOKUP($A37,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7" t="e" cm="1">
        <f t="array" ref="I37">_xlfn.LET(_xlpm.x, VLOOKUP($A37,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7" t="e" cm="1">
        <f t="array" ref="J37">_xlfn.LET(_xlpm.x, VLOOKUP($A37,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7" t="e" cm="1">
        <f t="array" ref="K37">_xlfn.LET(_xlpm.x, VLOOKUP($A37,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7" t="str" cm="1">
        <f t="array" ref="L37">IFERROR(_xlfn.SWITCH(VLOOKUP($A37, scenarios!$A$2:$P$109, L$1, 0), 1, "Permanent agriculture", 2, "Hard commodities", 3, "Shifting cultivation", 4, "Logging", 5, "Wildfire", 6, "Settlements &amp; infrastructure", 7, "Other natural disturbances"), "")</f>
        <v/>
      </c>
      <c r="M37" t="str">
        <f>_xlfn.LET(_xlpm.x, scenarios!M36, IF(OR(ISERROR(_xlpm.x), _xlpm.x=0), "", _xlpm.x))</f>
        <v/>
      </c>
      <c r="N37" t="str">
        <f>_xlfn.LET(_xlpm.x, scenarios!N36, IF(OR(ISERROR(_xlpm.x), _xlpm.x=0), "", _xlpm.x))</f>
        <v/>
      </c>
      <c r="O37" t="str">
        <f>_xlfn.LET(_xlpm.x, scenarios!O36, IF(OR(ISERROR(_xlpm.x), _xlpm.x=0), "", _xlpm.x))</f>
        <v/>
      </c>
      <c r="P37" t="str">
        <f>_xlfn.LET(_xlpm.x, scenarios!P36, IF(OR(ISERROR(_xlpm.x), _xlpm.x=0), "", _xlpm.x))</f>
        <v/>
      </c>
      <c r="Q37" t="str">
        <f>_xlfn.LET(_xlpm.x, scenarios!Q36, IF(OR(ISERROR(_xlpm.x), _xlpm.x=0), "", _xlpm.x))</f>
        <v/>
      </c>
      <c r="R37" t="str">
        <f>_xlfn.LET(_xlpm.x, scenarios!R36, IF(OR(ISERROR(_xlpm.x), _xlpm.x=0), "", _xlpm.x))</f>
        <v/>
      </c>
    </row>
    <row r="38" spans="1:18" x14ac:dyDescent="0.3">
      <c r="A38" s="5">
        <v>36</v>
      </c>
      <c r="B38" t="e" cm="1">
        <f t="array" ref="B38">_xlfn.LET(_xlpm.x, VLOOKUP($A38,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8" t="e" cm="1">
        <f t="array" ref="C38">_xlfn.LET(_xlpm.x, VLOOKUP($A38,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8" t="e" cm="1">
        <f t="array" ref="D38">_xlfn.LET(_xlpm.x, VLOOKUP($A38,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8" t="e" cm="1">
        <f t="array" ref="E38">_xlfn.LET(_xlpm.x, VLOOKUP($A38,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8" t="e" cm="1">
        <f t="array" ref="F38">_xlfn.LET(_xlpm.x, VLOOKUP($A38,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8" t="e" cm="1">
        <f t="array" ref="G38">_xlfn.LET(_xlpm.x, VLOOKUP($A38,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8" t="e" cm="1">
        <f t="array" ref="H38">_xlfn.LET(_xlpm.x, VLOOKUP($A38,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8" t="e" cm="1">
        <f t="array" ref="I38">_xlfn.LET(_xlpm.x, VLOOKUP($A38,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8" t="e" cm="1">
        <f t="array" ref="J38">_xlfn.LET(_xlpm.x, VLOOKUP($A38,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8" t="e" cm="1">
        <f t="array" ref="K38">_xlfn.LET(_xlpm.x, VLOOKUP($A38,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8" t="str" cm="1">
        <f t="array" ref="L38">IFERROR(_xlfn.SWITCH(VLOOKUP($A38, scenarios!$A$2:$P$109, L$1, 0), 1, "Permanent agriculture", 2, "Hard commodities", 3, "Shifting cultivation", 4, "Logging", 5, "Wildfire", 6, "Settlements &amp; infrastructure", 7, "Other natural disturbances"), "")</f>
        <v/>
      </c>
      <c r="M38" t="str">
        <f>_xlfn.LET(_xlpm.x, scenarios!M37, IF(OR(ISERROR(_xlpm.x), _xlpm.x=0), "", _xlpm.x))</f>
        <v/>
      </c>
      <c r="N38" t="str">
        <f>_xlfn.LET(_xlpm.x, scenarios!N37, IF(OR(ISERROR(_xlpm.x), _xlpm.x=0), "", _xlpm.x))</f>
        <v/>
      </c>
      <c r="O38" t="str">
        <f>_xlfn.LET(_xlpm.x, scenarios!O37, IF(OR(ISERROR(_xlpm.x), _xlpm.x=0), "", _xlpm.x))</f>
        <v/>
      </c>
      <c r="P38" t="str">
        <f>_xlfn.LET(_xlpm.x, scenarios!P37, IF(OR(ISERROR(_xlpm.x), _xlpm.x=0), "", _xlpm.x))</f>
        <v/>
      </c>
      <c r="Q38" t="str">
        <f>_xlfn.LET(_xlpm.x, scenarios!Q37, IF(OR(ISERROR(_xlpm.x), _xlpm.x=0), "", _xlpm.x))</f>
        <v/>
      </c>
      <c r="R38" t="str">
        <f>_xlfn.LET(_xlpm.x, scenarios!R37, IF(OR(ISERROR(_xlpm.x), _xlpm.x=0), "", _xlpm.x))</f>
        <v/>
      </c>
    </row>
    <row r="39" spans="1:18" x14ac:dyDescent="0.3">
      <c r="A39" s="5">
        <v>37</v>
      </c>
      <c r="B39" t="e" cm="1">
        <f t="array" ref="B39">_xlfn.LET(_xlpm.x, VLOOKUP($A39,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39" t="e" cm="1">
        <f t="array" ref="C39">_xlfn.LET(_xlpm.x, VLOOKUP($A39,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39" t="e" cm="1">
        <f t="array" ref="D39">_xlfn.LET(_xlpm.x, VLOOKUP($A39,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39" t="e" cm="1">
        <f t="array" ref="E39">_xlfn.LET(_xlpm.x, VLOOKUP($A39,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39" t="e" cm="1">
        <f t="array" ref="F39">_xlfn.LET(_xlpm.x, VLOOKUP($A39,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39" t="e" cm="1">
        <f t="array" ref="G39">_xlfn.LET(_xlpm.x, VLOOKUP($A39,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39" t="e" cm="1">
        <f t="array" ref="H39">_xlfn.LET(_xlpm.x, VLOOKUP($A39,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39" t="e" cm="1">
        <f t="array" ref="I39">_xlfn.LET(_xlpm.x, VLOOKUP($A39,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39" t="e" cm="1">
        <f t="array" ref="J39">_xlfn.LET(_xlpm.x, VLOOKUP($A39,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39" t="e" cm="1">
        <f t="array" ref="K39">_xlfn.LET(_xlpm.x, VLOOKUP($A39,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39" t="str" cm="1">
        <f t="array" ref="L39">IFERROR(_xlfn.SWITCH(VLOOKUP($A39, scenarios!$A$2:$P$109, L$1, 0), 1, "Permanent agriculture", 2, "Hard commodities", 3, "Shifting cultivation", 4, "Logging", 5, "Wildfire", 6, "Settlements &amp; infrastructure", 7, "Other natural disturbances"), "")</f>
        <v/>
      </c>
      <c r="M39" t="str">
        <f>_xlfn.LET(_xlpm.x, scenarios!M38, IF(OR(ISERROR(_xlpm.x), _xlpm.x=0), "", _xlpm.x))</f>
        <v/>
      </c>
      <c r="N39" t="str">
        <f>_xlfn.LET(_xlpm.x, scenarios!N38, IF(OR(ISERROR(_xlpm.x), _xlpm.x=0), "", _xlpm.x))</f>
        <v/>
      </c>
      <c r="O39" t="str">
        <f>_xlfn.LET(_xlpm.x, scenarios!O38, IF(OR(ISERROR(_xlpm.x), _xlpm.x=0), "", _xlpm.x))</f>
        <v/>
      </c>
      <c r="P39" t="str">
        <f>_xlfn.LET(_xlpm.x, scenarios!P38, IF(OR(ISERROR(_xlpm.x), _xlpm.x=0), "", _xlpm.x))</f>
        <v/>
      </c>
      <c r="Q39" t="str">
        <f>_xlfn.LET(_xlpm.x, scenarios!Q38, IF(OR(ISERROR(_xlpm.x), _xlpm.x=0), "", _xlpm.x))</f>
        <v/>
      </c>
      <c r="R39" t="str">
        <f>_xlfn.LET(_xlpm.x, scenarios!R38, IF(OR(ISERROR(_xlpm.x), _xlpm.x=0), "", _xlpm.x))</f>
        <v/>
      </c>
    </row>
    <row r="40" spans="1:18" x14ac:dyDescent="0.3">
      <c r="A40" s="5">
        <v>38</v>
      </c>
      <c r="B40" t="e" cm="1">
        <f t="array" ref="B40">_xlfn.LET(_xlpm.x, VLOOKUP($A40,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0" t="e" cm="1">
        <f t="array" ref="C40">_xlfn.LET(_xlpm.x, VLOOKUP($A40,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0" t="e" cm="1">
        <f t="array" ref="D40">_xlfn.LET(_xlpm.x, VLOOKUP($A40,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0" t="e" cm="1">
        <f t="array" ref="E40">_xlfn.LET(_xlpm.x, VLOOKUP($A40,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0" t="e" cm="1">
        <f t="array" ref="F40">_xlfn.LET(_xlpm.x, VLOOKUP($A40,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0" t="e" cm="1">
        <f t="array" ref="G40">_xlfn.LET(_xlpm.x, VLOOKUP($A40,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0" t="e" cm="1">
        <f t="array" ref="H40">_xlfn.LET(_xlpm.x, VLOOKUP($A40,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0" t="e" cm="1">
        <f t="array" ref="I40">_xlfn.LET(_xlpm.x, VLOOKUP($A40,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0" t="e" cm="1">
        <f t="array" ref="J40">_xlfn.LET(_xlpm.x, VLOOKUP($A40,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0" t="e" cm="1">
        <f t="array" ref="K40">_xlfn.LET(_xlpm.x, VLOOKUP($A40,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0" t="str" cm="1">
        <f t="array" ref="L40">IFERROR(_xlfn.SWITCH(VLOOKUP($A40, scenarios!$A$2:$P$109, L$1, 0), 1, "Permanent agriculture", 2, "Hard commodities", 3, "Shifting cultivation", 4, "Logging", 5, "Wildfire", 6, "Settlements &amp; infrastructure", 7, "Other natural disturbances"), "")</f>
        <v/>
      </c>
      <c r="M40" t="str">
        <f>_xlfn.LET(_xlpm.x, scenarios!M39, IF(OR(ISERROR(_xlpm.x), _xlpm.x=0), "", _xlpm.x))</f>
        <v/>
      </c>
      <c r="N40" t="str">
        <f>_xlfn.LET(_xlpm.x, scenarios!N39, IF(OR(ISERROR(_xlpm.x), _xlpm.x=0), "", _xlpm.x))</f>
        <v/>
      </c>
      <c r="O40" t="str">
        <f>_xlfn.LET(_xlpm.x, scenarios!O39, IF(OR(ISERROR(_xlpm.x), _xlpm.x=0), "", _xlpm.x))</f>
        <v/>
      </c>
      <c r="P40" t="str">
        <f>_xlfn.LET(_xlpm.x, scenarios!P39, IF(OR(ISERROR(_xlpm.x), _xlpm.x=0), "", _xlpm.x))</f>
        <v/>
      </c>
      <c r="Q40" t="str">
        <f>_xlfn.LET(_xlpm.x, scenarios!Q39, IF(OR(ISERROR(_xlpm.x), _xlpm.x=0), "", _xlpm.x))</f>
        <v/>
      </c>
      <c r="R40" t="str">
        <f>_xlfn.LET(_xlpm.x, scenarios!R39, IF(OR(ISERROR(_xlpm.x), _xlpm.x=0), "", _xlpm.x))</f>
        <v/>
      </c>
    </row>
    <row r="41" spans="1:18" x14ac:dyDescent="0.3">
      <c r="A41" s="5">
        <v>39</v>
      </c>
      <c r="B41" t="e" cm="1">
        <f t="array" ref="B41">_xlfn.LET(_xlpm.x, VLOOKUP($A41,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1" t="e" cm="1">
        <f t="array" ref="C41">_xlfn.LET(_xlpm.x, VLOOKUP($A41,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1" t="e" cm="1">
        <f t="array" ref="D41">_xlfn.LET(_xlpm.x, VLOOKUP($A41,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1" t="e" cm="1">
        <f t="array" ref="E41">_xlfn.LET(_xlpm.x, VLOOKUP($A41,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1" t="e" cm="1">
        <f t="array" ref="F41">_xlfn.LET(_xlpm.x, VLOOKUP($A41,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1" t="e" cm="1">
        <f t="array" ref="G41">_xlfn.LET(_xlpm.x, VLOOKUP($A41,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1" t="e" cm="1">
        <f t="array" ref="H41">_xlfn.LET(_xlpm.x, VLOOKUP($A41,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1" t="e" cm="1">
        <f t="array" ref="I41">_xlfn.LET(_xlpm.x, VLOOKUP($A41,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1" t="e" cm="1">
        <f t="array" ref="J41">_xlfn.LET(_xlpm.x, VLOOKUP($A41,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1" t="e" cm="1">
        <f t="array" ref="K41">_xlfn.LET(_xlpm.x, VLOOKUP($A41,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1" t="str" cm="1">
        <f t="array" ref="L41">IFERROR(_xlfn.SWITCH(VLOOKUP($A41, scenarios!$A$2:$P$109, L$1, 0), 1, "Permanent agriculture", 2, "Hard commodities", 3, "Shifting cultivation", 4, "Logging", 5, "Wildfire", 6, "Settlements &amp; infrastructure", 7, "Other natural disturbances"), "")</f>
        <v/>
      </c>
      <c r="M41" t="str">
        <f>_xlfn.LET(_xlpm.x, scenarios!M40, IF(OR(ISERROR(_xlpm.x), _xlpm.x=0), "", _xlpm.x))</f>
        <v/>
      </c>
      <c r="N41" t="str">
        <f>_xlfn.LET(_xlpm.x, scenarios!N40, IF(OR(ISERROR(_xlpm.x), _xlpm.x=0), "", _xlpm.x))</f>
        <v/>
      </c>
      <c r="O41" t="str">
        <f>_xlfn.LET(_xlpm.x, scenarios!O40, IF(OR(ISERROR(_xlpm.x), _xlpm.x=0), "", _xlpm.x))</f>
        <v/>
      </c>
      <c r="P41" t="str">
        <f>_xlfn.LET(_xlpm.x, scenarios!P40, IF(OR(ISERROR(_xlpm.x), _xlpm.x=0), "", _xlpm.x))</f>
        <v/>
      </c>
      <c r="Q41" t="str">
        <f>_xlfn.LET(_xlpm.x, scenarios!Q40, IF(OR(ISERROR(_xlpm.x), _xlpm.x=0), "", _xlpm.x))</f>
        <v/>
      </c>
      <c r="R41" t="str">
        <f>_xlfn.LET(_xlpm.x, scenarios!R40, IF(OR(ISERROR(_xlpm.x), _xlpm.x=0), "", _xlpm.x))</f>
        <v/>
      </c>
    </row>
    <row r="42" spans="1:18" x14ac:dyDescent="0.3">
      <c r="A42" s="5">
        <v>40</v>
      </c>
      <c r="B42" t="e" cm="1">
        <f t="array" ref="B42">_xlfn.LET(_xlpm.x, VLOOKUP($A42,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2" t="e" cm="1">
        <f t="array" ref="C42">_xlfn.LET(_xlpm.x, VLOOKUP($A42,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2" t="e" cm="1">
        <f t="array" ref="D42">_xlfn.LET(_xlpm.x, VLOOKUP($A42,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2" t="e" cm="1">
        <f t="array" ref="E42">_xlfn.LET(_xlpm.x, VLOOKUP($A42,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2" t="e" cm="1">
        <f t="array" ref="F42">_xlfn.LET(_xlpm.x, VLOOKUP($A42,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2" t="e" cm="1">
        <f t="array" ref="G42">_xlfn.LET(_xlpm.x, VLOOKUP($A42,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2" t="e" cm="1">
        <f t="array" ref="H42">_xlfn.LET(_xlpm.x, VLOOKUP($A42,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2" t="e" cm="1">
        <f t="array" ref="I42">_xlfn.LET(_xlpm.x, VLOOKUP($A42,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2" t="e" cm="1">
        <f t="array" ref="J42">_xlfn.LET(_xlpm.x, VLOOKUP($A42,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2" t="e" cm="1">
        <f t="array" ref="K42">_xlfn.LET(_xlpm.x, VLOOKUP($A42,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2" t="str" cm="1">
        <f t="array" ref="L42">IFERROR(_xlfn.SWITCH(VLOOKUP($A42, scenarios!$A$2:$P$109, L$1, 0), 1, "Permanent agriculture", 2, "Hard commodities", 3, "Shifting cultivation", 4, "Logging", 5, "Wildfire", 6, "Settlements &amp; infrastructure", 7, "Other natural disturbances"), "")</f>
        <v/>
      </c>
      <c r="M42" t="str">
        <f>_xlfn.LET(_xlpm.x, scenarios!M41, IF(OR(ISERROR(_xlpm.x), _xlpm.x=0), "", _xlpm.x))</f>
        <v/>
      </c>
      <c r="N42" t="str">
        <f>_xlfn.LET(_xlpm.x, scenarios!N41, IF(OR(ISERROR(_xlpm.x), _xlpm.x=0), "", _xlpm.x))</f>
        <v/>
      </c>
      <c r="O42" t="str">
        <f>_xlfn.LET(_xlpm.x, scenarios!O41, IF(OR(ISERROR(_xlpm.x), _xlpm.x=0), "", _xlpm.x))</f>
        <v/>
      </c>
      <c r="P42" t="str">
        <f>_xlfn.LET(_xlpm.x, scenarios!P41, IF(OR(ISERROR(_xlpm.x), _xlpm.x=0), "", _xlpm.x))</f>
        <v/>
      </c>
      <c r="Q42" t="str">
        <f>_xlfn.LET(_xlpm.x, scenarios!Q41, IF(OR(ISERROR(_xlpm.x), _xlpm.x=0), "", _xlpm.x))</f>
        <v/>
      </c>
      <c r="R42" t="str">
        <f>_xlfn.LET(_xlpm.x, scenarios!R41, IF(OR(ISERROR(_xlpm.x), _xlpm.x=0), "", _xlpm.x))</f>
        <v/>
      </c>
    </row>
    <row r="43" spans="1:18" x14ac:dyDescent="0.3">
      <c r="A43" s="5">
        <v>41</v>
      </c>
      <c r="B43" t="e" cm="1">
        <f t="array" ref="B43">_xlfn.LET(_xlpm.x, VLOOKUP($A43,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3" t="e" cm="1">
        <f t="array" ref="C43">_xlfn.LET(_xlpm.x, VLOOKUP($A43,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3" t="e" cm="1">
        <f t="array" ref="D43">_xlfn.LET(_xlpm.x, VLOOKUP($A43,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3" t="e" cm="1">
        <f t="array" ref="E43">_xlfn.LET(_xlpm.x, VLOOKUP($A43,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3" t="e" cm="1">
        <f t="array" ref="F43">_xlfn.LET(_xlpm.x, VLOOKUP($A43,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3" t="e" cm="1">
        <f t="array" ref="G43">_xlfn.LET(_xlpm.x, VLOOKUP($A43,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3" t="e" cm="1">
        <f t="array" ref="H43">_xlfn.LET(_xlpm.x, VLOOKUP($A43,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3" t="e" cm="1">
        <f t="array" ref="I43">_xlfn.LET(_xlpm.x, VLOOKUP($A43,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3" t="e" cm="1">
        <f t="array" ref="J43">_xlfn.LET(_xlpm.x, VLOOKUP($A43,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3" t="e" cm="1">
        <f t="array" ref="K43">_xlfn.LET(_xlpm.x, VLOOKUP($A43,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3" t="str" cm="1">
        <f t="array" ref="L43">IFERROR(_xlfn.SWITCH(VLOOKUP($A43, scenarios!$A$2:$P$109, L$1, 0), 1, "Permanent agriculture", 2, "Hard commodities", 3, "Shifting cultivation", 4, "Logging", 5, "Wildfire", 6, "Settlements &amp; infrastructure", 7, "Other natural disturbances"), "")</f>
        <v/>
      </c>
      <c r="M43" t="str">
        <f>_xlfn.LET(_xlpm.x, scenarios!M42, IF(OR(ISERROR(_xlpm.x), _xlpm.x=0), "", _xlpm.x))</f>
        <v/>
      </c>
      <c r="N43" t="str">
        <f>_xlfn.LET(_xlpm.x, scenarios!N42, IF(OR(ISERROR(_xlpm.x), _xlpm.x=0), "", _xlpm.x))</f>
        <v/>
      </c>
      <c r="O43" t="str">
        <f>_xlfn.LET(_xlpm.x, scenarios!O42, IF(OR(ISERROR(_xlpm.x), _xlpm.x=0), "", _xlpm.x))</f>
        <v/>
      </c>
      <c r="P43" t="str">
        <f>_xlfn.LET(_xlpm.x, scenarios!P42, IF(OR(ISERROR(_xlpm.x), _xlpm.x=0), "", _xlpm.x))</f>
        <v/>
      </c>
      <c r="Q43" t="str">
        <f>_xlfn.LET(_xlpm.x, scenarios!Q42, IF(OR(ISERROR(_xlpm.x), _xlpm.x=0), "", _xlpm.x))</f>
        <v/>
      </c>
      <c r="R43" t="str">
        <f>_xlfn.LET(_xlpm.x, scenarios!R42, IF(OR(ISERROR(_xlpm.x), _xlpm.x=0), "", _xlpm.x))</f>
        <v/>
      </c>
    </row>
    <row r="44" spans="1:18" x14ac:dyDescent="0.3">
      <c r="A44" s="5">
        <v>42</v>
      </c>
      <c r="B44" t="e" cm="1">
        <f t="array" ref="B44">_xlfn.LET(_xlpm.x, VLOOKUP($A44,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4" t="e" cm="1">
        <f t="array" ref="C44">_xlfn.LET(_xlpm.x, VLOOKUP($A44,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4" t="e" cm="1">
        <f t="array" ref="D44">_xlfn.LET(_xlpm.x, VLOOKUP($A44,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4" t="e" cm="1">
        <f t="array" ref="E44">_xlfn.LET(_xlpm.x, VLOOKUP($A44,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4" t="e" cm="1">
        <f t="array" ref="F44">_xlfn.LET(_xlpm.x, VLOOKUP($A44,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4" t="e" cm="1">
        <f t="array" ref="G44">_xlfn.LET(_xlpm.x, VLOOKUP($A44,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4" t="e" cm="1">
        <f t="array" ref="H44">_xlfn.LET(_xlpm.x, VLOOKUP($A44,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4" t="e" cm="1">
        <f t="array" ref="I44">_xlfn.LET(_xlpm.x, VLOOKUP($A44,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4" t="e" cm="1">
        <f t="array" ref="J44">_xlfn.LET(_xlpm.x, VLOOKUP($A44,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4" t="e" cm="1">
        <f t="array" ref="K44">_xlfn.LET(_xlpm.x, VLOOKUP($A44,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4" t="str" cm="1">
        <f t="array" ref="L44">IFERROR(_xlfn.SWITCH(VLOOKUP($A44, scenarios!$A$2:$P$109, L$1, 0), 1, "Permanent agriculture", 2, "Hard commodities", 3, "Shifting cultivation", 4, "Logging", 5, "Wildfire", 6, "Settlements &amp; infrastructure", 7, "Other natural disturbances"), "")</f>
        <v/>
      </c>
      <c r="M44" t="str">
        <f>_xlfn.LET(_xlpm.x, scenarios!M43, IF(OR(ISERROR(_xlpm.x), _xlpm.x=0), "", _xlpm.x))</f>
        <v/>
      </c>
      <c r="N44" t="str">
        <f>_xlfn.LET(_xlpm.x, scenarios!N43, IF(OR(ISERROR(_xlpm.x), _xlpm.x=0), "", _xlpm.x))</f>
        <v/>
      </c>
      <c r="O44" t="str">
        <f>_xlfn.LET(_xlpm.x, scenarios!O43, IF(OR(ISERROR(_xlpm.x), _xlpm.x=0), "", _xlpm.x))</f>
        <v/>
      </c>
      <c r="P44" t="str">
        <f>_xlfn.LET(_xlpm.x, scenarios!P43, IF(OR(ISERROR(_xlpm.x), _xlpm.x=0), "", _xlpm.x))</f>
        <v/>
      </c>
      <c r="Q44" t="str">
        <f>_xlfn.LET(_xlpm.x, scenarios!Q43, IF(OR(ISERROR(_xlpm.x), _xlpm.x=0), "", _xlpm.x))</f>
        <v/>
      </c>
      <c r="R44" t="str">
        <f>_xlfn.LET(_xlpm.x, scenarios!R43, IF(OR(ISERROR(_xlpm.x), _xlpm.x=0), "", _xlpm.x))</f>
        <v/>
      </c>
    </row>
    <row r="45" spans="1:18" x14ac:dyDescent="0.3">
      <c r="A45" s="5">
        <v>43</v>
      </c>
      <c r="B45" t="e" cm="1">
        <f t="array" ref="B45">_xlfn.LET(_xlpm.x, VLOOKUP($A45,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5" t="e" cm="1">
        <f t="array" ref="C45">_xlfn.LET(_xlpm.x, VLOOKUP($A45,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5" t="e" cm="1">
        <f t="array" ref="D45">_xlfn.LET(_xlpm.x, VLOOKUP($A45,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5" t="e" cm="1">
        <f t="array" ref="E45">_xlfn.LET(_xlpm.x, VLOOKUP($A45,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5" t="e" cm="1">
        <f t="array" ref="F45">_xlfn.LET(_xlpm.x, VLOOKUP($A45,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5" t="e" cm="1">
        <f t="array" ref="G45">_xlfn.LET(_xlpm.x, VLOOKUP($A45,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5" t="e" cm="1">
        <f t="array" ref="H45">_xlfn.LET(_xlpm.x, VLOOKUP($A45,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5" t="e" cm="1">
        <f t="array" ref="I45">_xlfn.LET(_xlpm.x, VLOOKUP($A45,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5" t="e" cm="1">
        <f t="array" ref="J45">_xlfn.LET(_xlpm.x, VLOOKUP($A45,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5" t="e" cm="1">
        <f t="array" ref="K45">_xlfn.LET(_xlpm.x, VLOOKUP($A45,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5" t="str" cm="1">
        <f t="array" ref="L45">IFERROR(_xlfn.SWITCH(VLOOKUP($A45, scenarios!$A$2:$P$109, L$1, 0), 1, "Permanent agriculture", 2, "Hard commodities", 3, "Shifting cultivation", 4, "Logging", 5, "Wildfire", 6, "Settlements &amp; infrastructure", 7, "Other natural disturbances"), "")</f>
        <v/>
      </c>
      <c r="M45" t="str">
        <f>_xlfn.LET(_xlpm.x, scenarios!M44, IF(OR(ISERROR(_xlpm.x), _xlpm.x=0), "", _xlpm.x))</f>
        <v/>
      </c>
      <c r="N45" t="str">
        <f>_xlfn.LET(_xlpm.x, scenarios!N44, IF(OR(ISERROR(_xlpm.x), _xlpm.x=0), "", _xlpm.x))</f>
        <v/>
      </c>
      <c r="O45" t="str">
        <f>_xlfn.LET(_xlpm.x, scenarios!O44, IF(OR(ISERROR(_xlpm.x), _xlpm.x=0), "", _xlpm.x))</f>
        <v/>
      </c>
      <c r="P45" t="str">
        <f>_xlfn.LET(_xlpm.x, scenarios!P44, IF(OR(ISERROR(_xlpm.x), _xlpm.x=0), "", _xlpm.x))</f>
        <v/>
      </c>
      <c r="Q45" t="str">
        <f>_xlfn.LET(_xlpm.x, scenarios!Q44, IF(OR(ISERROR(_xlpm.x), _xlpm.x=0), "", _xlpm.x))</f>
        <v/>
      </c>
      <c r="R45" t="str">
        <f>_xlfn.LET(_xlpm.x, scenarios!R44, IF(OR(ISERROR(_xlpm.x), _xlpm.x=0), "", _xlpm.x))</f>
        <v/>
      </c>
    </row>
    <row r="46" spans="1:18" x14ac:dyDescent="0.3">
      <c r="A46" s="5">
        <v>44</v>
      </c>
      <c r="B46" t="e" cm="1">
        <f t="array" ref="B46">_xlfn.LET(_xlpm.x, VLOOKUP($A46,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6" t="e" cm="1">
        <f t="array" ref="C46">_xlfn.LET(_xlpm.x, VLOOKUP($A46,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6" t="e" cm="1">
        <f t="array" ref="D46">_xlfn.LET(_xlpm.x, VLOOKUP($A46,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6" t="e" cm="1">
        <f t="array" ref="E46">_xlfn.LET(_xlpm.x, VLOOKUP($A46,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6" t="e" cm="1">
        <f t="array" ref="F46">_xlfn.LET(_xlpm.x, VLOOKUP($A46,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6" t="e" cm="1">
        <f t="array" ref="G46">_xlfn.LET(_xlpm.x, VLOOKUP($A46,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6" t="e" cm="1">
        <f t="array" ref="H46">_xlfn.LET(_xlpm.x, VLOOKUP($A46,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6" t="e" cm="1">
        <f t="array" ref="I46">_xlfn.LET(_xlpm.x, VLOOKUP($A46,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6" t="e" cm="1">
        <f t="array" ref="J46">_xlfn.LET(_xlpm.x, VLOOKUP($A46,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6" t="e" cm="1">
        <f t="array" ref="K46">_xlfn.LET(_xlpm.x, VLOOKUP($A46,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6" t="str" cm="1">
        <f t="array" ref="L46">IFERROR(_xlfn.SWITCH(VLOOKUP($A46, scenarios!$A$2:$P$109, L$1, 0), 1, "Permanent agriculture", 2, "Hard commodities", 3, "Shifting cultivation", 4, "Logging", 5, "Wildfire", 6, "Settlements &amp; infrastructure", 7, "Other natural disturbances"), "")</f>
        <v/>
      </c>
      <c r="M46" t="str">
        <f>_xlfn.LET(_xlpm.x, scenarios!M45, IF(OR(ISERROR(_xlpm.x), _xlpm.x=0), "", _xlpm.x))</f>
        <v/>
      </c>
      <c r="N46" t="str">
        <f>_xlfn.LET(_xlpm.x, scenarios!N45, IF(OR(ISERROR(_xlpm.x), _xlpm.x=0), "", _xlpm.x))</f>
        <v/>
      </c>
      <c r="O46" t="str">
        <f>_xlfn.LET(_xlpm.x, scenarios!O45, IF(OR(ISERROR(_xlpm.x), _xlpm.x=0), "", _xlpm.x))</f>
        <v/>
      </c>
      <c r="P46" t="str">
        <f>_xlfn.LET(_xlpm.x, scenarios!P45, IF(OR(ISERROR(_xlpm.x), _xlpm.x=0), "", _xlpm.x))</f>
        <v/>
      </c>
      <c r="Q46" t="str">
        <f>_xlfn.LET(_xlpm.x, scenarios!Q45, IF(OR(ISERROR(_xlpm.x), _xlpm.x=0), "", _xlpm.x))</f>
        <v/>
      </c>
      <c r="R46" t="str">
        <f>_xlfn.LET(_xlpm.x, scenarios!R45, IF(OR(ISERROR(_xlpm.x), _xlpm.x=0), "", _xlpm.x))</f>
        <v/>
      </c>
    </row>
    <row r="47" spans="1:18" x14ac:dyDescent="0.3">
      <c r="A47" s="5">
        <v>45</v>
      </c>
      <c r="B47" t="e" cm="1">
        <f t="array" ref="B47">_xlfn.LET(_xlpm.x, VLOOKUP($A47,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7" t="e" cm="1">
        <f t="array" ref="C47">_xlfn.LET(_xlpm.x, VLOOKUP($A47,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7" t="e" cm="1">
        <f t="array" ref="D47">_xlfn.LET(_xlpm.x, VLOOKUP($A47,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7" t="e" cm="1">
        <f t="array" ref="E47">_xlfn.LET(_xlpm.x, VLOOKUP($A47,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7" t="e" cm="1">
        <f t="array" ref="F47">_xlfn.LET(_xlpm.x, VLOOKUP($A47,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7" t="e" cm="1">
        <f t="array" ref="G47">_xlfn.LET(_xlpm.x, VLOOKUP($A47,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7" t="e" cm="1">
        <f t="array" ref="H47">_xlfn.LET(_xlpm.x, VLOOKUP($A47,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7" t="e" cm="1">
        <f t="array" ref="I47">_xlfn.LET(_xlpm.x, VLOOKUP($A47,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7" t="e" cm="1">
        <f t="array" ref="J47">_xlfn.LET(_xlpm.x, VLOOKUP($A47,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7" t="e" cm="1">
        <f t="array" ref="K47">_xlfn.LET(_xlpm.x, VLOOKUP($A47,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7" t="str" cm="1">
        <f t="array" ref="L47">IFERROR(_xlfn.SWITCH(VLOOKUP($A47, scenarios!$A$2:$P$109, L$1, 0), 1, "Permanent agriculture", 2, "Hard commodities", 3, "Shifting cultivation", 4, "Logging", 5, "Wildfire", 6, "Settlements &amp; infrastructure", 7, "Other natural disturbances"), "")</f>
        <v/>
      </c>
      <c r="M47" t="str">
        <f>_xlfn.LET(_xlpm.x, scenarios!M46, IF(OR(ISERROR(_xlpm.x), _xlpm.x=0), "", _xlpm.x))</f>
        <v/>
      </c>
      <c r="N47" t="str">
        <f>_xlfn.LET(_xlpm.x, scenarios!N46, IF(OR(ISERROR(_xlpm.x), _xlpm.x=0), "", _xlpm.x))</f>
        <v/>
      </c>
      <c r="O47" t="str">
        <f>_xlfn.LET(_xlpm.x, scenarios!O46, IF(OR(ISERROR(_xlpm.x), _xlpm.x=0), "", _xlpm.x))</f>
        <v/>
      </c>
      <c r="P47" t="str">
        <f>_xlfn.LET(_xlpm.x, scenarios!P46, IF(OR(ISERROR(_xlpm.x), _xlpm.x=0), "", _xlpm.x))</f>
        <v/>
      </c>
      <c r="Q47" t="str">
        <f>_xlfn.LET(_xlpm.x, scenarios!Q46, IF(OR(ISERROR(_xlpm.x), _xlpm.x=0), "", _xlpm.x))</f>
        <v/>
      </c>
      <c r="R47" t="str">
        <f>_xlfn.LET(_xlpm.x, scenarios!R46, IF(OR(ISERROR(_xlpm.x), _xlpm.x=0), "", _xlpm.x))</f>
        <v/>
      </c>
    </row>
    <row r="48" spans="1:18" x14ac:dyDescent="0.3">
      <c r="A48" s="5">
        <v>46</v>
      </c>
      <c r="B48" t="e" cm="1">
        <f t="array" ref="B48">_xlfn.LET(_xlpm.x, VLOOKUP($A48,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8" t="e" cm="1">
        <f t="array" ref="C48">_xlfn.LET(_xlpm.x, VLOOKUP($A48,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8" t="e" cm="1">
        <f t="array" ref="D48">_xlfn.LET(_xlpm.x, VLOOKUP($A48,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8" t="e" cm="1">
        <f t="array" ref="E48">_xlfn.LET(_xlpm.x, VLOOKUP($A48,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8" t="e" cm="1">
        <f t="array" ref="F48">_xlfn.LET(_xlpm.x, VLOOKUP($A48,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8" t="e" cm="1">
        <f t="array" ref="G48">_xlfn.LET(_xlpm.x, VLOOKUP($A48,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8" t="e" cm="1">
        <f t="array" ref="H48">_xlfn.LET(_xlpm.x, VLOOKUP($A48,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8" t="e" cm="1">
        <f t="array" ref="I48">_xlfn.LET(_xlpm.x, VLOOKUP($A48,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8" t="e" cm="1">
        <f t="array" ref="J48">_xlfn.LET(_xlpm.x, VLOOKUP($A48,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8" t="e" cm="1">
        <f t="array" ref="K48">_xlfn.LET(_xlpm.x, VLOOKUP($A48,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8" t="str" cm="1">
        <f t="array" ref="L48">IFERROR(_xlfn.SWITCH(VLOOKUP($A48, scenarios!$A$2:$P$109, L$1, 0), 1, "Permanent agriculture", 2, "Hard commodities", 3, "Shifting cultivation", 4, "Logging", 5, "Wildfire", 6, "Settlements &amp; infrastructure", 7, "Other natural disturbances"), "")</f>
        <v/>
      </c>
      <c r="M48" t="str">
        <f>_xlfn.LET(_xlpm.x, scenarios!M47, IF(OR(ISERROR(_xlpm.x), _xlpm.x=0), "", _xlpm.x))</f>
        <v/>
      </c>
      <c r="N48" t="str">
        <f>_xlfn.LET(_xlpm.x, scenarios!N47, IF(OR(ISERROR(_xlpm.x), _xlpm.x=0), "", _xlpm.x))</f>
        <v/>
      </c>
      <c r="O48" t="str">
        <f>_xlfn.LET(_xlpm.x, scenarios!O47, IF(OR(ISERROR(_xlpm.x), _xlpm.x=0), "", _xlpm.x))</f>
        <v/>
      </c>
      <c r="P48" t="str">
        <f>_xlfn.LET(_xlpm.x, scenarios!P47, IF(OR(ISERROR(_xlpm.x), _xlpm.x=0), "", _xlpm.x))</f>
        <v/>
      </c>
      <c r="Q48" t="str">
        <f>_xlfn.LET(_xlpm.x, scenarios!Q47, IF(OR(ISERROR(_xlpm.x), _xlpm.x=0), "", _xlpm.x))</f>
        <v/>
      </c>
      <c r="R48" t="str">
        <f>_xlfn.LET(_xlpm.x, scenarios!R47, IF(OR(ISERROR(_xlpm.x), _xlpm.x=0), "", _xlpm.x))</f>
        <v/>
      </c>
    </row>
    <row r="49" spans="1:18" x14ac:dyDescent="0.3">
      <c r="A49" s="5">
        <v>47</v>
      </c>
      <c r="B49" t="e" cm="1">
        <f t="array" ref="B49">_xlfn.LET(_xlpm.x, VLOOKUP($A49,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49" t="e" cm="1">
        <f t="array" ref="C49">_xlfn.LET(_xlpm.x, VLOOKUP($A49,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49" t="e" cm="1">
        <f t="array" ref="D49">_xlfn.LET(_xlpm.x, VLOOKUP($A49,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49" t="e" cm="1">
        <f t="array" ref="E49">_xlfn.LET(_xlpm.x, VLOOKUP($A49,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49" t="e" cm="1">
        <f t="array" ref="F49">_xlfn.LET(_xlpm.x, VLOOKUP($A49,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49" t="e" cm="1">
        <f t="array" ref="G49">_xlfn.LET(_xlpm.x, VLOOKUP($A49,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49" t="e" cm="1">
        <f t="array" ref="H49">_xlfn.LET(_xlpm.x, VLOOKUP($A49,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49" t="e" cm="1">
        <f t="array" ref="I49">_xlfn.LET(_xlpm.x, VLOOKUP($A49,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49" t="e" cm="1">
        <f t="array" ref="J49">_xlfn.LET(_xlpm.x, VLOOKUP($A49,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49" t="e" cm="1">
        <f t="array" ref="K49">_xlfn.LET(_xlpm.x, VLOOKUP($A49,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49" t="str" cm="1">
        <f t="array" ref="L49">IFERROR(_xlfn.SWITCH(VLOOKUP($A49, scenarios!$A$2:$P$109, L$1, 0), 1, "Permanent agriculture", 2, "Hard commodities", 3, "Shifting cultivation", 4, "Logging", 5, "Wildfire", 6, "Settlements &amp; infrastructure", 7, "Other natural disturbances"), "")</f>
        <v/>
      </c>
      <c r="M49" t="str">
        <f>_xlfn.LET(_xlpm.x, scenarios!M48, IF(OR(ISERROR(_xlpm.x), _xlpm.x=0), "", _xlpm.x))</f>
        <v/>
      </c>
      <c r="N49" t="str">
        <f>_xlfn.LET(_xlpm.x, scenarios!N48, IF(OR(ISERROR(_xlpm.x), _xlpm.x=0), "", _xlpm.x))</f>
        <v/>
      </c>
      <c r="O49" t="str">
        <f>_xlfn.LET(_xlpm.x, scenarios!O48, IF(OR(ISERROR(_xlpm.x), _xlpm.x=0), "", _xlpm.x))</f>
        <v/>
      </c>
      <c r="P49" t="str">
        <f>_xlfn.LET(_xlpm.x, scenarios!P48, IF(OR(ISERROR(_xlpm.x), _xlpm.x=0), "", _xlpm.x))</f>
        <v/>
      </c>
      <c r="Q49" t="str">
        <f>_xlfn.LET(_xlpm.x, scenarios!Q48, IF(OR(ISERROR(_xlpm.x), _xlpm.x=0), "", _xlpm.x))</f>
        <v/>
      </c>
      <c r="R49" t="str">
        <f>_xlfn.LET(_xlpm.x, scenarios!R48, IF(OR(ISERROR(_xlpm.x), _xlpm.x=0), "", _xlpm.x))</f>
        <v/>
      </c>
    </row>
    <row r="50" spans="1:18" x14ac:dyDescent="0.3">
      <c r="A50" s="5">
        <v>48</v>
      </c>
      <c r="B50" t="e" cm="1">
        <f t="array" ref="B50">_xlfn.LET(_xlpm.x, VLOOKUP($A50,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0" t="e" cm="1">
        <f t="array" ref="C50">_xlfn.LET(_xlpm.x, VLOOKUP($A50,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0" t="e" cm="1">
        <f t="array" ref="D50">_xlfn.LET(_xlpm.x, VLOOKUP($A50,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0" t="e" cm="1">
        <f t="array" ref="E50">_xlfn.LET(_xlpm.x, VLOOKUP($A50,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0" t="e" cm="1">
        <f t="array" ref="F50">_xlfn.LET(_xlpm.x, VLOOKUP($A50,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0" t="e" cm="1">
        <f t="array" ref="G50">_xlfn.LET(_xlpm.x, VLOOKUP($A50,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0" t="e" cm="1">
        <f t="array" ref="H50">_xlfn.LET(_xlpm.x, VLOOKUP($A50,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0" t="e" cm="1">
        <f t="array" ref="I50">_xlfn.LET(_xlpm.x, VLOOKUP($A50,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0" t="e" cm="1">
        <f t="array" ref="J50">_xlfn.LET(_xlpm.x, VLOOKUP($A50,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0" t="e" cm="1">
        <f t="array" ref="K50">_xlfn.LET(_xlpm.x, VLOOKUP($A50,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0" t="str" cm="1">
        <f t="array" ref="L50">IFERROR(_xlfn.SWITCH(VLOOKUP($A50, scenarios!$A$2:$P$109, L$1, 0), 1, "Permanent agriculture", 2, "Hard commodities", 3, "Shifting cultivation", 4, "Logging", 5, "Wildfire", 6, "Settlements &amp; infrastructure", 7, "Other natural disturbances"), "")</f>
        <v/>
      </c>
      <c r="M50" t="str">
        <f>_xlfn.LET(_xlpm.x, scenarios!M49, IF(OR(ISERROR(_xlpm.x), _xlpm.x=0), "", _xlpm.x))</f>
        <v/>
      </c>
      <c r="N50" t="str">
        <f>_xlfn.LET(_xlpm.x, scenarios!N49, IF(OR(ISERROR(_xlpm.x), _xlpm.x=0), "", _xlpm.x))</f>
        <v/>
      </c>
      <c r="O50" t="str">
        <f>_xlfn.LET(_xlpm.x, scenarios!O49, IF(OR(ISERROR(_xlpm.x), _xlpm.x=0), "", _xlpm.x))</f>
        <v/>
      </c>
      <c r="P50" t="str">
        <f>_xlfn.LET(_xlpm.x, scenarios!P49, IF(OR(ISERROR(_xlpm.x), _xlpm.x=0), "", _xlpm.x))</f>
        <v/>
      </c>
      <c r="Q50" t="str">
        <f>_xlfn.LET(_xlpm.x, scenarios!Q49, IF(OR(ISERROR(_xlpm.x), _xlpm.x=0), "", _xlpm.x))</f>
        <v/>
      </c>
      <c r="R50" t="str">
        <f>_xlfn.LET(_xlpm.x, scenarios!R49, IF(OR(ISERROR(_xlpm.x), _xlpm.x=0), "", _xlpm.x))</f>
        <v/>
      </c>
    </row>
    <row r="51" spans="1:18" x14ac:dyDescent="0.3">
      <c r="A51" s="5">
        <v>49</v>
      </c>
      <c r="B51" t="e" cm="1">
        <f t="array" ref="B51">_xlfn.LET(_xlpm.x, VLOOKUP($A51,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1" t="e" cm="1">
        <f t="array" ref="C51">_xlfn.LET(_xlpm.x, VLOOKUP($A51,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1" t="e" cm="1">
        <f t="array" ref="D51">_xlfn.LET(_xlpm.x, VLOOKUP($A51,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1" t="e" cm="1">
        <f t="array" ref="E51">_xlfn.LET(_xlpm.x, VLOOKUP($A51,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1" t="e" cm="1">
        <f t="array" ref="F51">_xlfn.LET(_xlpm.x, VLOOKUP($A51,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1" t="e" cm="1">
        <f t="array" ref="G51">_xlfn.LET(_xlpm.x, VLOOKUP($A51,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1" t="e" cm="1">
        <f t="array" ref="H51">_xlfn.LET(_xlpm.x, VLOOKUP($A51,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1" t="e" cm="1">
        <f t="array" ref="I51">_xlfn.LET(_xlpm.x, VLOOKUP($A51,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1" t="e" cm="1">
        <f t="array" ref="J51">_xlfn.LET(_xlpm.x, VLOOKUP($A51,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1" t="e" cm="1">
        <f t="array" ref="K51">_xlfn.LET(_xlpm.x, VLOOKUP($A51,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1" t="str" cm="1">
        <f t="array" ref="L51">IFERROR(_xlfn.SWITCH(VLOOKUP($A51, scenarios!$A$2:$P$109, L$1, 0), 1, "Permanent agriculture", 2, "Hard commodities", 3, "Shifting cultivation", 4, "Logging", 5, "Wildfire", 6, "Settlements &amp; infrastructure", 7, "Other natural disturbances"), "")</f>
        <v/>
      </c>
      <c r="M51" t="str">
        <f>_xlfn.LET(_xlpm.x, scenarios!M50, IF(OR(ISERROR(_xlpm.x), _xlpm.x=0), "", _xlpm.x))</f>
        <v/>
      </c>
      <c r="N51" t="str">
        <f>_xlfn.LET(_xlpm.x, scenarios!N50, IF(OR(ISERROR(_xlpm.x), _xlpm.x=0), "", _xlpm.x))</f>
        <v/>
      </c>
      <c r="O51" t="str">
        <f>_xlfn.LET(_xlpm.x, scenarios!O50, IF(OR(ISERROR(_xlpm.x), _xlpm.x=0), "", _xlpm.x))</f>
        <v/>
      </c>
      <c r="P51" t="str">
        <f>_xlfn.LET(_xlpm.x, scenarios!P50, IF(OR(ISERROR(_xlpm.x), _xlpm.x=0), "", _xlpm.x))</f>
        <v/>
      </c>
      <c r="Q51" t="str">
        <f>_xlfn.LET(_xlpm.x, scenarios!Q50, IF(OR(ISERROR(_xlpm.x), _xlpm.x=0), "", _xlpm.x))</f>
        <v/>
      </c>
      <c r="R51" t="str">
        <f>_xlfn.LET(_xlpm.x, scenarios!R50, IF(OR(ISERROR(_xlpm.x), _xlpm.x=0), "", _xlpm.x))</f>
        <v/>
      </c>
    </row>
    <row r="52" spans="1:18" x14ac:dyDescent="0.3">
      <c r="A52" s="5">
        <v>50</v>
      </c>
      <c r="B52" t="e" cm="1">
        <f t="array" ref="B52">_xlfn.LET(_xlpm.x, VLOOKUP($A52, scenarios!$A$2:$K$109, B$1,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C52" t="e" cm="1">
        <f t="array" ref="C52">_xlfn.LET(_xlpm.x, VLOOKUP($A52, scenarios!$A$2:$K$109, C$1,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D52" t="e" cm="1">
        <f t="array" ref="D52">_xlfn.LET(_xlpm.x, VLOOKUP($A52, scenarios!$A$2:$K$109, D$1,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E52" t="e" cm="1">
        <f t="array" ref="E52">_xlfn.LET(_xlpm.x, VLOOKUP($A52, scenarios!$A$2:$K$109, E$1,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F52" t="e" cm="1">
        <f t="array" ref="F52">_xlfn.LET(_xlpm.x, VLOOKUP($A52, scenarios!$A$2:$K$109, F$1,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G52" t="e" cm="1">
        <f t="array" ref="G52">_xlfn.LET(_xlpm.x, VLOOKUP($A52, scenarios!$A$2:$K$109, G$1,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H52" t="e" cm="1">
        <f t="array" ref="H52">_xlfn.LET(_xlpm.x, VLOOKUP($A52, scenarios!$A$2:$K$109, H$1,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I52" t="e" cm="1">
        <f t="array" ref="I52">_xlfn.LET(_xlpm.x, VLOOKUP($A52, scenarios!$A$2:$K$109, I$1,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J52" t="e" cm="1">
        <f t="array" ref="J52">_xlfn.LET(_xlpm.x, VLOOKUP($A52, scenarios!$A$2:$K$109, J$1,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K52" t="e" cm="1">
        <f t="array" ref="K52">_xlfn.LET(_xlpm.x, VLOOKUP($A52, scenarios!$A$2:$K$109, K$1, 0),
_xlfn.IFS(
_xlpm.x=250, "built up",
_xlpm.x=244, "cropland",
OR(AND(_xlpm.x&gt;=27,_xlpm.x&lt;=48), AND(_xlpm.x&gt;=127,_xlpm.x&lt;=148)), "tall veg",
OR(AND(_xlpm.x&gt;=5,_xlpm.x&lt;=26), AND(_xlpm.x&gt;=105,_xlpm.x&lt;=126)), "short veg",
AND(_xlpm.x&gt;=200,_xlpm.x&lt;=204), "wetland",
OR(AND(_xlpm.x&gt;=0,_xlpm.x&lt;=4), AND(_xlpm.x&gt;=100,_xlpm.x&lt;=104)), "bare",
AND(_xlpm.x&gt;=205,_xlpm.x&lt;=207), "water",
_xlpm.x=241, "snow/ice"
)
)</f>
        <v>#N/A</v>
      </c>
      <c r="L52" t="str" cm="1">
        <f t="array" ref="L52">IFERROR(_xlfn.SWITCH(VLOOKUP($A52, scenarios!$A$2:$P$109, L$1, 0), 1, "Permanent agriculture", 2, "Hard commodities", 3, "Shifting cultivation", 4, "Logging", 5, "Wildfire", 6, "Settlements &amp; infrastructure", 7, "Other natural disturbances"), "")</f>
        <v/>
      </c>
      <c r="M52" t="str">
        <f>_xlfn.LET(_xlpm.x, scenarios!M51, IF(OR(ISERROR(_xlpm.x), _xlpm.x=0), "", _xlpm.x))</f>
        <v/>
      </c>
      <c r="N52" t="str">
        <f>_xlfn.LET(_xlpm.x, scenarios!N51, IF(OR(ISERROR(_xlpm.x), _xlpm.x=0), "", _xlpm.x))</f>
        <v/>
      </c>
      <c r="O52" t="str">
        <f>_xlfn.LET(_xlpm.x, scenarios!O51, IF(OR(ISERROR(_xlpm.x), _xlpm.x=0), "", _xlpm.x))</f>
        <v/>
      </c>
      <c r="P52" t="str">
        <f>_xlfn.LET(_xlpm.x, scenarios!P51, IF(OR(ISERROR(_xlpm.x), _xlpm.x=0), "", _xlpm.x))</f>
        <v/>
      </c>
      <c r="Q52" t="str">
        <f>_xlfn.LET(_xlpm.x, scenarios!Q51, IF(OR(ISERROR(_xlpm.x), _xlpm.x=0), "", _xlpm.x))</f>
        <v/>
      </c>
      <c r="R52" t="str">
        <f>_xlfn.LET(_xlpm.x, scenarios!R51, IF(OR(ISERROR(_xlpm.x), _xlpm.x=0), "", _xlpm.x))</f>
        <v/>
      </c>
    </row>
    <row r="53" spans="1:18" x14ac:dyDescent="0.3">
      <c r="A53" s="5"/>
    </row>
    <row r="54" spans="1:18" x14ac:dyDescent="0.3">
      <c r="A54" s="5"/>
    </row>
    <row r="55" spans="1:18" x14ac:dyDescent="0.3">
      <c r="A55" s="5"/>
    </row>
    <row r="56" spans="1:18" x14ac:dyDescent="0.3">
      <c r="A56" s="5"/>
    </row>
    <row r="57" spans="1:18" x14ac:dyDescent="0.3">
      <c r="A57" s="5"/>
    </row>
    <row r="58" spans="1:18" x14ac:dyDescent="0.3">
      <c r="A58" s="5"/>
    </row>
    <row r="59" spans="1:18" x14ac:dyDescent="0.3">
      <c r="A59" s="5"/>
    </row>
    <row r="60" spans="1:18" x14ac:dyDescent="0.3">
      <c r="A60" s="5"/>
    </row>
    <row r="61" spans="1:18" x14ac:dyDescent="0.3">
      <c r="A61" s="5"/>
    </row>
    <row r="62" spans="1:18" x14ac:dyDescent="0.3">
      <c r="A62" s="5"/>
    </row>
    <row r="63" spans="1:18" x14ac:dyDescent="0.3">
      <c r="A63" s="5"/>
    </row>
    <row r="64" spans="1:18" x14ac:dyDescent="0.3">
      <c r="A64" s="5"/>
    </row>
    <row r="65" spans="1:1" x14ac:dyDescent="0.3">
      <c r="A65" s="5"/>
    </row>
    <row r="66" spans="1:1" x14ac:dyDescent="0.3">
      <c r="A66" s="5"/>
    </row>
  </sheetData>
  <conditionalFormatting sqref="B1:K1048576">
    <cfRule type="cellIs" dxfId="4" priority="1" operator="equal">
      <formula>"wetland"</formula>
    </cfRule>
  </conditionalFormatting>
  <conditionalFormatting sqref="B1:T1 B2:K1048576">
    <cfRule type="cellIs" dxfId="3" priority="4" operator="equal">
      <formula>"short veg"</formula>
    </cfRule>
    <cfRule type="cellIs" dxfId="2" priority="5" operator="equal">
      <formula>"tall veg"</formula>
    </cfRule>
  </conditionalFormatting>
  <conditionalFormatting sqref="L1:Q1 B1:K1048576">
    <cfRule type="cellIs" dxfId="1" priority="2" operator="equal">
      <formula>"cropland"</formula>
    </cfRule>
    <cfRule type="cellIs" dxfId="0" priority="3" operator="equal">
      <formula>"cultivated"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scenarios_switch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Gibbs</dc:creator>
  <cp:lastModifiedBy>Melissa Rose</cp:lastModifiedBy>
  <dcterms:created xsi:type="dcterms:W3CDTF">2015-06-05T18:17:20Z</dcterms:created>
  <dcterms:modified xsi:type="dcterms:W3CDTF">2026-05-26T23:25:29Z</dcterms:modified>
</cp:coreProperties>
</file>