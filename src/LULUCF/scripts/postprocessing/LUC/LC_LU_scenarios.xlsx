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GIS\git\AFOLU_GHG_flux_model\src\LULUCF\scripts\postprocessing\"/>
    </mc:Choice>
  </mc:AlternateContent>
  <xr:revisionPtr revIDLastSave="0" documentId="13_ncr:1_{342BDA11-185A-4A26-878B-0712CC2765A2}" xr6:coauthVersionLast="47" xr6:coauthVersionMax="47" xr10:uidLastSave="{00000000-0000-0000-0000-000000000000}"/>
  <bookViews>
    <workbookView xWindow="-165" yWindow="-16560" windowWidth="29130" windowHeight="15810" xr2:uid="{00000000-000D-0000-FFFF-FFFF00000000}"/>
  </bookViews>
  <sheets>
    <sheet name="scenarios" sheetId="1" r:id="rId1"/>
    <sheet name="ke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1" l="1"/>
  <c r="A35" i="1" s="1"/>
  <c r="A36" i="1" s="1"/>
  <c r="A37" i="1" s="1"/>
  <c r="A38" i="1" s="1"/>
  <c r="A10" i="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 i="1"/>
  <c r="A4" i="1" s="1"/>
  <c r="A5" i="1" s="1"/>
  <c r="A6" i="1" s="1"/>
  <c r="A7" i="1" s="1"/>
  <c r="A8" i="1" s="1"/>
  <c r="A9" i="1" s="1"/>
</calcChain>
</file>

<file path=xl/sharedStrings.xml><?xml version="1.0" encoding="utf-8"?>
<sst xmlns="http://schemas.openxmlformats.org/spreadsheetml/2006/main" count="154" uniqueCount="70">
  <si>
    <t>driver</t>
  </si>
  <si>
    <t>Min</t>
  </si>
  <si>
    <t>Max</t>
  </si>
  <si>
    <t>Water</t>
  </si>
  <si>
    <t>Cropland</t>
  </si>
  <si>
    <t>0-19% short vegetation, dry</t>
  </si>
  <si>
    <t>Bare Ground &amp; Sparse Vegetation</t>
  </si>
  <si>
    <t>Other land (6)</t>
  </si>
  <si>
    <t>20-100% short vegetation, dry</t>
  </si>
  <si>
    <t>Short Vegetation [or cultivated grasslands]</t>
  </si>
  <si>
    <t>Grassland (5)</t>
  </si>
  <si>
    <t>Tree cover 3-4 m, dry</t>
  </si>
  <si>
    <t>Tree cover 5-25+ m, dry</t>
  </si>
  <si>
    <t>Forest/Tree Cover</t>
  </si>
  <si>
    <t>Forest (1)</t>
  </si>
  <si>
    <t>0-19% short vegetation, wet</t>
  </si>
  <si>
    <t>20-100% short vegetation, wet</t>
  </si>
  <si>
    <t>Wetland Short Vegetation [or cultivated grasslands]</t>
  </si>
  <si>
    <t>Tree cover 3-4 m, wet</t>
  </si>
  <si>
    <t>Tree cover 5-25+ m, wet</t>
  </si>
  <si>
    <t>Open surface water (20-69% of year)</t>
  </si>
  <si>
    <t>Wetland (4)</t>
  </si>
  <si>
    <t>Open surface water (70-100% of year)</t>
  </si>
  <si>
    <t>Snow/ice</t>
  </si>
  <si>
    <t>Snow/Ice</t>
  </si>
  <si>
    <t>Cropland (2)</t>
  </si>
  <si>
    <t>Built-up</t>
  </si>
  <si>
    <t>Built up</t>
  </si>
  <si>
    <t>Settlement (3)</t>
  </si>
  <si>
    <t>Ocean</t>
  </si>
  <si>
    <t>N/A</t>
  </si>
  <si>
    <t>All other values</t>
  </si>
  <si>
    <t>Not part of single-year GLCLU composite maps</t>
  </si>
  <si>
    <t>Not part of inventory</t>
  </si>
  <si>
    <t>5</t>
  </si>
  <si>
    <t>GLCLU description</t>
  </si>
  <si>
    <t>LCL Land Cover Class</t>
  </si>
  <si>
    <t>IPCC land use</t>
  </si>
  <si>
    <t>scenario</t>
  </si>
  <si>
    <t>Rationale</t>
  </si>
  <si>
    <t>Tree cover the entire time</t>
  </si>
  <si>
    <t>Harvested forest, temporarily unstocked</t>
  </si>
  <si>
    <t>Forest converted to grassland</t>
  </si>
  <si>
    <t>Expected IPCC LUC</t>
  </si>
  <si>
    <t>Forest remaining forest</t>
  </si>
  <si>
    <t>Although short veg at the end, it doesn't hit the threshold for years to count as LUC (3 years).</t>
  </si>
  <si>
    <t>Tall vegetation never returns during timeseries and there are &gt;=3 years of short vegetation at the end</t>
  </si>
  <si>
    <t>Notes</t>
  </si>
  <si>
    <t>Need to discuss the &gt;=3 year threshold</t>
  </si>
  <si>
    <t>IPCC LUC confidence</t>
  </si>
  <si>
    <t>High</t>
  </si>
  <si>
    <t>Low</t>
  </si>
  <si>
    <t>Grassland remaining grassland</t>
  </si>
  <si>
    <t>Mix of tall veg and short veg (2 year rotation). Pretty ambiguous what this is</t>
  </si>
  <si>
    <t>Need to discuss what to do with something as murky as this.</t>
  </si>
  <si>
    <t>None</t>
  </si>
  <si>
    <t>Mix of tall veg and short veg (3 year rotation). Pretty ambiguous what this is</t>
  </si>
  <si>
    <t>Starts with &gt;=3 years of tall vegetation, then short veg for the rest of the series</t>
  </si>
  <si>
    <t>Forest converted to settlement</t>
  </si>
  <si>
    <t>Any detection of builtup entails LUC because builtup class never disappears</t>
  </si>
  <si>
    <t>Although cropland at the end, it doesn't hit the threshold for years to count as LUC (3 years).</t>
  </si>
  <si>
    <t>Cropland remaining cropland</t>
  </si>
  <si>
    <t>Starts with less than 3 years of tall veg, so not enough to say that it really was tall vegetation</t>
  </si>
  <si>
    <t>Single year of cropland deemed an aberration</t>
  </si>
  <si>
    <t>Two years of cropland deemed an aberration</t>
  </si>
  <si>
    <t>Although series is predominantly tall vegetation, it has three years of cropland, which is enough to make the cropland "real". Thus, we assume the tall vegetation before and after is tall vegetation regrowth during fallow periods.</t>
  </si>
  <si>
    <t>Need to discuss if the three years of cropland is enough to overrule the 7 years of tall veg.</t>
  </si>
  <si>
    <t>The mix of tall vegetation and cropland indicates shifting cultivation</t>
  </si>
  <si>
    <t>The mix of short vegetation and cropland indicates shifting cultivation</t>
  </si>
  <si>
    <t>The mix of short vegetation, tall vegetation, and cropland indicates shifting cultivation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</si>
</sst>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Aptos Narrow"/>
      <family val="2"/>
    </font>
    <font>
      <sz val="10"/>
      <color theme="1"/>
      <name val="Arial"/>
      <family val="2"/>
    </font>
    <font>
      <b/>
      <sz val="11"/>
      <color theme="1"/>
      <name val="Calibri"/>
      <family val="2"/>
      <scheme val="minor"/>
    </font>
    <font>
      <sz val="10"/>
      <color rgb="FF000000"/>
      <name val="Aptos"/>
    </font>
    <font>
      <i/>
      <sz val="10"/>
      <color rgb="FF000000"/>
      <name val="Calibri"/>
    </font>
    <font>
      <i/>
      <sz val="10"/>
      <color rgb="FF000000"/>
      <name val="Aptos"/>
    </font>
    <font>
      <sz val="10"/>
      <color rgb="FF000000"/>
      <name val="Aptos"/>
      <family val="2"/>
    </font>
    <font>
      <i/>
      <sz val="10"/>
      <color rgb="FF000000"/>
      <name val="Calibri"/>
      <family val="2"/>
    </font>
    <font>
      <b/>
      <sz val="11"/>
      <color theme="1"/>
      <name val="Aptos Narrow"/>
      <family val="2"/>
    </font>
    <font>
      <b/>
      <sz val="11"/>
      <color rgb="FF000000"/>
      <name val="Calibri"/>
      <family val="2"/>
    </font>
  </fonts>
  <fills count="9">
    <fill>
      <patternFill patternType="none"/>
    </fill>
    <fill>
      <patternFill patternType="gray125"/>
    </fill>
    <fill>
      <patternFill patternType="solid">
        <fgColor rgb="FFD9D9D9"/>
        <bgColor indexed="64"/>
      </patternFill>
    </fill>
    <fill>
      <patternFill patternType="solid">
        <fgColor rgb="FFFFF2CC"/>
        <bgColor indexed="64"/>
      </patternFill>
    </fill>
    <fill>
      <patternFill patternType="solid">
        <fgColor rgb="FFA8D08D"/>
        <bgColor indexed="64"/>
      </patternFill>
    </fill>
    <fill>
      <patternFill patternType="solid">
        <fgColor rgb="FFB4C7E7"/>
        <bgColor indexed="64"/>
      </patternFill>
    </fill>
    <fill>
      <patternFill patternType="solid">
        <fgColor rgb="FFFFC000"/>
        <bgColor indexed="64"/>
      </patternFill>
    </fill>
    <fill>
      <patternFill patternType="solid">
        <fgColor rgb="FFC55A11"/>
        <bgColor indexed="64"/>
      </patternFill>
    </fill>
    <fill>
      <patternFill patternType="solid">
        <fgColor rgb="FFFFFFFF"/>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39">
    <xf numFmtId="0" fontId="0" fillId="0" borderId="0" xfId="0"/>
    <xf numFmtId="0" fontId="1" fillId="0" borderId="0" xfId="0" applyFont="1" applyAlignment="1">
      <alignment horizontal="right" wrapText="1"/>
    </xf>
    <xf numFmtId="0" fontId="1" fillId="0" borderId="0" xfId="0" applyFont="1" applyAlignment="1">
      <alignment wrapText="1"/>
    </xf>
    <xf numFmtId="0" fontId="2" fillId="0" borderId="0" xfId="0" applyFont="1" applyAlignment="1">
      <alignment horizontal="right" wrapText="1"/>
    </xf>
    <xf numFmtId="0" fontId="4" fillId="3" borderId="1" xfId="0" applyFont="1" applyFill="1" applyBorder="1" applyAlignment="1">
      <alignment horizontal="left" vertical="center" wrapText="1" readingOrder="1"/>
    </xf>
    <xf numFmtId="0" fontId="5" fillId="3" borderId="1" xfId="0" applyFont="1" applyFill="1" applyBorder="1" applyAlignment="1">
      <alignment horizontal="left" vertical="center" wrapText="1" readingOrder="1"/>
    </xf>
    <xf numFmtId="0" fontId="4" fillId="4" borderId="1" xfId="0" applyFont="1" applyFill="1" applyBorder="1" applyAlignment="1">
      <alignment horizontal="left" vertical="center" wrapText="1" readingOrder="1"/>
    </xf>
    <xf numFmtId="0" fontId="5" fillId="4" borderId="1"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4" fillId="5" borderId="1" xfId="0" applyFont="1" applyFill="1" applyBorder="1" applyAlignment="1">
      <alignment horizontal="left" vertical="center" wrapText="1" readingOrder="1"/>
    </xf>
    <xf numFmtId="0" fontId="5" fillId="5" borderId="1" xfId="0" applyFont="1" applyFill="1" applyBorder="1" applyAlignment="1">
      <alignment horizontal="left" vertical="center" wrapText="1" readingOrder="1"/>
    </xf>
    <xf numFmtId="0" fontId="4" fillId="6" borderId="1" xfId="0" applyFont="1" applyFill="1" applyBorder="1" applyAlignment="1">
      <alignment horizontal="left" vertical="center" wrapText="1" readingOrder="1"/>
    </xf>
    <xf numFmtId="0" fontId="5" fillId="6" borderId="1" xfId="0" applyFont="1" applyFill="1" applyBorder="1" applyAlignment="1">
      <alignment horizontal="left" vertical="center" wrapText="1" readingOrder="1"/>
    </xf>
    <xf numFmtId="0" fontId="4" fillId="7" borderId="1" xfId="0" applyFont="1" applyFill="1" applyBorder="1" applyAlignment="1">
      <alignment horizontal="left" vertical="center" wrapText="1" readingOrder="1"/>
    </xf>
    <xf numFmtId="0" fontId="5" fillId="7" borderId="1" xfId="0" applyFont="1" applyFill="1" applyBorder="1" applyAlignment="1">
      <alignment horizontal="left" vertical="center" wrapText="1" readingOrder="1"/>
    </xf>
    <xf numFmtId="0" fontId="6" fillId="2" borderId="1" xfId="0" applyFont="1" applyFill="1" applyBorder="1" applyAlignment="1">
      <alignment horizontal="left" vertical="center" wrapText="1" readingOrder="1"/>
    </xf>
    <xf numFmtId="0" fontId="4" fillId="8" borderId="1" xfId="0" applyFont="1" applyFill="1" applyBorder="1" applyAlignment="1">
      <alignment horizontal="left" vertical="center" wrapText="1" readingOrder="1"/>
    </xf>
    <xf numFmtId="0" fontId="7" fillId="2" borderId="1" xfId="0" applyFont="1" applyFill="1" applyBorder="1" applyAlignment="1">
      <alignment horizontal="left" vertical="center" wrapText="1" readingOrder="1"/>
    </xf>
    <xf numFmtId="0" fontId="7" fillId="3" borderId="1" xfId="0" applyFont="1" applyFill="1" applyBorder="1" applyAlignment="1">
      <alignment horizontal="left" vertical="center" wrapText="1" readingOrder="1"/>
    </xf>
    <xf numFmtId="0" fontId="7" fillId="4" borderId="1" xfId="0" applyFont="1" applyFill="1" applyBorder="1" applyAlignment="1">
      <alignment horizontal="left" vertical="center" wrapText="1" readingOrder="1"/>
    </xf>
    <xf numFmtId="0" fontId="7" fillId="5" borderId="1" xfId="0" applyFont="1" applyFill="1" applyBorder="1" applyAlignment="1">
      <alignment horizontal="left" vertical="center" wrapText="1" readingOrder="1"/>
    </xf>
    <xf numFmtId="0" fontId="7" fillId="6" borderId="1" xfId="0" applyFont="1" applyFill="1" applyBorder="1" applyAlignment="1">
      <alignment horizontal="left" vertical="center" wrapText="1" readingOrder="1"/>
    </xf>
    <xf numFmtId="0" fontId="7" fillId="7" borderId="1" xfId="0" applyFont="1" applyFill="1" applyBorder="1" applyAlignment="1">
      <alignment horizontal="left" vertical="center" wrapText="1" readingOrder="1"/>
    </xf>
    <xf numFmtId="49" fontId="7" fillId="3" borderId="1" xfId="0" applyNumberFormat="1" applyFont="1" applyFill="1" applyBorder="1" applyAlignment="1">
      <alignment horizontal="left" vertical="center" wrapText="1" readingOrder="1"/>
    </xf>
    <xf numFmtId="0" fontId="8" fillId="2" borderId="1" xfId="0" applyFont="1" applyFill="1" applyBorder="1" applyAlignment="1">
      <alignment horizontal="left" vertical="center" wrapText="1" readingOrder="1"/>
    </xf>
    <xf numFmtId="0" fontId="1" fillId="0" borderId="0" xfId="0" applyFont="1" applyAlignment="1">
      <alignment horizontal="left"/>
    </xf>
    <xf numFmtId="0" fontId="0" fillId="0" borderId="0" xfId="0" applyAlignment="1">
      <alignment horizontal="left"/>
    </xf>
    <xf numFmtId="0" fontId="3" fillId="0" borderId="0" xfId="0" applyFont="1"/>
    <xf numFmtId="0" fontId="9" fillId="0" borderId="0" xfId="0" applyFont="1" applyAlignment="1">
      <alignment wrapText="1"/>
    </xf>
    <xf numFmtId="0" fontId="9" fillId="0" borderId="0" xfId="0" applyFont="1" applyAlignment="1">
      <alignment horizontal="right" wrapText="1"/>
    </xf>
    <xf numFmtId="0" fontId="9" fillId="0" borderId="0" xfId="0" applyFont="1" applyAlignment="1">
      <alignment horizontal="left"/>
    </xf>
    <xf numFmtId="0" fontId="10" fillId="0" borderId="1" xfId="0" applyFont="1" applyBorder="1" applyAlignment="1">
      <alignment horizontal="left" vertical="center" wrapText="1" readingOrder="1"/>
    </xf>
    <xf numFmtId="0" fontId="9" fillId="0" borderId="2" xfId="0" applyFont="1" applyBorder="1" applyAlignment="1">
      <alignment horizontal="left"/>
    </xf>
    <xf numFmtId="0" fontId="1" fillId="0" borderId="2" xfId="0" applyFont="1" applyBorder="1" applyAlignment="1">
      <alignment horizontal="left"/>
    </xf>
    <xf numFmtId="0" fontId="0" fillId="0" borderId="2" xfId="0" applyBorder="1" applyAlignment="1">
      <alignment horizontal="left"/>
    </xf>
    <xf numFmtId="0" fontId="9" fillId="0" borderId="3" xfId="0" applyFont="1" applyBorder="1" applyAlignment="1">
      <alignment horizontal="left"/>
    </xf>
    <xf numFmtId="0" fontId="1" fillId="0" borderId="3" xfId="0" applyFont="1" applyBorder="1" applyAlignment="1">
      <alignment horizontal="left"/>
    </xf>
    <xf numFmtId="0" fontId="0" fillId="0" borderId="3" xfId="0" applyBorder="1" applyAlignment="1">
      <alignment horizontal="left"/>
    </xf>
  </cellXfs>
  <cellStyles count="1">
    <cellStyle name="Normal" xfId="0" builtinId="0"/>
  </cellStyles>
  <dxfs count="6">
    <dxf>
      <fill>
        <patternFill>
          <bgColor rgb="FF00B050"/>
        </patternFill>
      </fill>
    </dxf>
    <dxf>
      <fill>
        <patternFill>
          <bgColor theme="5" tint="0.59996337778862885"/>
        </patternFill>
      </fill>
    </dxf>
    <dxf>
      <fill>
        <patternFill>
          <bgColor rgb="FFFFFF00"/>
        </patternFill>
      </fill>
    </dxf>
    <dxf>
      <fill>
        <patternFill>
          <bgColor rgb="FFFF0000"/>
        </patternFill>
      </fill>
    </dxf>
    <dxf>
      <fill>
        <patternFill>
          <bgColor rgb="FF00B050"/>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8"/>
  <sheetViews>
    <sheetView tabSelected="1" zoomScaleNormal="100" workbookViewId="0">
      <selection activeCell="O7" sqref="O7"/>
    </sheetView>
  </sheetViews>
  <sheetFormatPr defaultRowHeight="14.5" x14ac:dyDescent="0.35"/>
  <cols>
    <col min="1" max="1" width="8" bestFit="1" customWidth="1"/>
    <col min="2" max="2" width="10.54296875" customWidth="1"/>
    <col min="13" max="13" width="28.08984375" style="27" bestFit="1" customWidth="1"/>
    <col min="14" max="14" width="19.6328125" style="38" bestFit="1" customWidth="1"/>
    <col min="15" max="15" width="26.36328125" style="38" customWidth="1"/>
    <col min="16" max="16" width="12.1796875" style="35" customWidth="1"/>
    <col min="18" max="18" width="12.26953125" customWidth="1"/>
    <col min="20" max="20" width="38.36328125" customWidth="1"/>
    <col min="21" max="21" width="46.81640625" customWidth="1"/>
    <col min="22" max="22" width="20.7265625" customWidth="1"/>
  </cols>
  <sheetData>
    <row r="1" spans="1:16" s="28" customFormat="1" x14ac:dyDescent="0.35">
      <c r="A1" s="28" t="s">
        <v>38</v>
      </c>
      <c r="B1" s="29" t="s">
        <v>0</v>
      </c>
      <c r="C1" s="30">
        <v>2015</v>
      </c>
      <c r="D1" s="30">
        <v>2016</v>
      </c>
      <c r="E1" s="30">
        <v>2017</v>
      </c>
      <c r="F1" s="30">
        <v>2018</v>
      </c>
      <c r="G1" s="30">
        <v>2019</v>
      </c>
      <c r="H1" s="30">
        <v>2020</v>
      </c>
      <c r="I1" s="30">
        <v>2021</v>
      </c>
      <c r="J1" s="30">
        <v>2022</v>
      </c>
      <c r="K1" s="30">
        <v>2023</v>
      </c>
      <c r="L1" s="30">
        <v>2024</v>
      </c>
      <c r="M1" s="31" t="s">
        <v>43</v>
      </c>
      <c r="N1" s="36" t="s">
        <v>49</v>
      </c>
      <c r="O1" s="36" t="s">
        <v>39</v>
      </c>
      <c r="P1" s="33" t="s">
        <v>47</v>
      </c>
    </row>
    <row r="2" spans="1:16" x14ac:dyDescent="0.35">
      <c r="A2">
        <v>0</v>
      </c>
      <c r="C2" s="1">
        <v>27</v>
      </c>
      <c r="D2" s="1">
        <v>27</v>
      </c>
      <c r="E2" s="1">
        <v>27</v>
      </c>
      <c r="F2" s="1">
        <v>27</v>
      </c>
      <c r="G2" s="1">
        <v>28</v>
      </c>
      <c r="H2" s="1">
        <v>28</v>
      </c>
      <c r="I2" s="1">
        <v>28</v>
      </c>
      <c r="J2" s="1">
        <v>29</v>
      </c>
      <c r="K2" s="1">
        <v>32</v>
      </c>
      <c r="L2" s="1">
        <v>34</v>
      </c>
      <c r="M2" s="26" t="s">
        <v>44</v>
      </c>
      <c r="N2" s="37" t="s">
        <v>50</v>
      </c>
      <c r="O2" s="37" t="s">
        <v>40</v>
      </c>
      <c r="P2" s="34" t="s">
        <v>55</v>
      </c>
    </row>
    <row r="3" spans="1:16" x14ac:dyDescent="0.35">
      <c r="A3">
        <f>A2+1</f>
        <v>1</v>
      </c>
      <c r="C3" s="1">
        <v>34</v>
      </c>
      <c r="D3" s="1">
        <v>34</v>
      </c>
      <c r="E3" s="1">
        <v>30</v>
      </c>
      <c r="F3" s="1">
        <v>30</v>
      </c>
      <c r="G3" s="1">
        <v>27</v>
      </c>
      <c r="H3" s="1">
        <v>27</v>
      </c>
      <c r="I3" s="1">
        <v>27</v>
      </c>
      <c r="J3" s="1">
        <v>27</v>
      </c>
      <c r="K3" s="1">
        <v>27</v>
      </c>
      <c r="L3" s="1">
        <v>27</v>
      </c>
      <c r="M3" s="26" t="s">
        <v>44</v>
      </c>
      <c r="N3" s="37" t="s">
        <v>50</v>
      </c>
      <c r="O3" s="37" t="s">
        <v>40</v>
      </c>
      <c r="P3" s="34" t="s">
        <v>55</v>
      </c>
    </row>
    <row r="4" spans="1:16" x14ac:dyDescent="0.35">
      <c r="A4">
        <f t="shared" ref="A4:A38" si="0">A3+1</f>
        <v>2</v>
      </c>
      <c r="C4" s="1">
        <v>30</v>
      </c>
      <c r="D4" s="1">
        <v>30</v>
      </c>
      <c r="E4" s="1">
        <v>30</v>
      </c>
      <c r="F4" s="1">
        <v>30</v>
      </c>
      <c r="G4" s="1">
        <v>30</v>
      </c>
      <c r="H4" s="1">
        <v>20</v>
      </c>
      <c r="I4" s="1">
        <v>20</v>
      </c>
      <c r="J4" s="1">
        <v>20</v>
      </c>
      <c r="K4" s="1">
        <v>30</v>
      </c>
      <c r="L4" s="1">
        <v>30</v>
      </c>
      <c r="M4" s="26" t="s">
        <v>44</v>
      </c>
      <c r="N4" s="37" t="s">
        <v>50</v>
      </c>
      <c r="O4" s="37" t="s">
        <v>41</v>
      </c>
      <c r="P4" s="34" t="s">
        <v>55</v>
      </c>
    </row>
    <row r="5" spans="1:16" x14ac:dyDescent="0.35">
      <c r="A5">
        <f t="shared" si="0"/>
        <v>3</v>
      </c>
      <c r="C5" s="1">
        <v>30</v>
      </c>
      <c r="D5" s="1">
        <v>30</v>
      </c>
      <c r="E5" s="1">
        <v>30</v>
      </c>
      <c r="F5" s="1">
        <v>30</v>
      </c>
      <c r="G5" s="1">
        <v>30</v>
      </c>
      <c r="H5" s="1">
        <v>30</v>
      </c>
      <c r="I5" s="1">
        <v>30</v>
      </c>
      <c r="J5" s="1">
        <v>30</v>
      </c>
      <c r="K5" s="1">
        <v>30</v>
      </c>
      <c r="L5" s="1">
        <v>20</v>
      </c>
      <c r="M5" s="26" t="s">
        <v>44</v>
      </c>
      <c r="N5" s="37" t="s">
        <v>51</v>
      </c>
      <c r="O5" s="38" t="s">
        <v>45</v>
      </c>
      <c r="P5" s="35" t="s">
        <v>48</v>
      </c>
    </row>
    <row r="6" spans="1:16" x14ac:dyDescent="0.35">
      <c r="A6">
        <f t="shared" si="0"/>
        <v>4</v>
      </c>
      <c r="B6" s="2"/>
      <c r="C6" s="1">
        <v>30</v>
      </c>
      <c r="D6" s="1">
        <v>30</v>
      </c>
      <c r="E6" s="1">
        <v>30</v>
      </c>
      <c r="F6" s="1">
        <v>30</v>
      </c>
      <c r="G6" s="1">
        <v>30</v>
      </c>
      <c r="H6" s="1">
        <v>30</v>
      </c>
      <c r="I6" s="1">
        <v>30</v>
      </c>
      <c r="J6" s="1">
        <v>30</v>
      </c>
      <c r="K6" s="1">
        <v>20</v>
      </c>
      <c r="L6" s="1">
        <v>20</v>
      </c>
      <c r="M6" s="27" t="s">
        <v>44</v>
      </c>
      <c r="N6" s="38" t="s">
        <v>51</v>
      </c>
      <c r="O6" s="38" t="s">
        <v>45</v>
      </c>
      <c r="P6" s="35" t="s">
        <v>48</v>
      </c>
    </row>
    <row r="7" spans="1:16" x14ac:dyDescent="0.35">
      <c r="A7">
        <f t="shared" si="0"/>
        <v>5</v>
      </c>
      <c r="B7" s="2"/>
      <c r="C7" s="1">
        <v>30</v>
      </c>
      <c r="D7" s="1">
        <v>30</v>
      </c>
      <c r="E7" s="1">
        <v>30</v>
      </c>
      <c r="F7" s="1">
        <v>20</v>
      </c>
      <c r="G7" s="1">
        <v>20</v>
      </c>
      <c r="H7" s="1">
        <v>20</v>
      </c>
      <c r="I7" s="1">
        <v>30</v>
      </c>
      <c r="J7" s="1">
        <v>30</v>
      </c>
      <c r="K7" s="1">
        <v>30</v>
      </c>
      <c r="L7" s="1">
        <v>20</v>
      </c>
      <c r="M7" s="26" t="s">
        <v>44</v>
      </c>
      <c r="N7" s="37" t="s">
        <v>51</v>
      </c>
      <c r="O7" s="37" t="s">
        <v>56</v>
      </c>
      <c r="P7" s="34" t="s">
        <v>54</v>
      </c>
    </row>
    <row r="8" spans="1:16" x14ac:dyDescent="0.35">
      <c r="A8">
        <f t="shared" si="0"/>
        <v>6</v>
      </c>
      <c r="B8" s="2"/>
      <c r="C8" s="1">
        <v>30</v>
      </c>
      <c r="D8" s="1">
        <v>30</v>
      </c>
      <c r="E8" s="1">
        <v>30</v>
      </c>
      <c r="F8" s="1">
        <v>30</v>
      </c>
      <c r="G8" s="1">
        <v>30</v>
      </c>
      <c r="H8" s="1">
        <v>30</v>
      </c>
      <c r="I8" s="1">
        <v>20</v>
      </c>
      <c r="J8" s="1">
        <v>20</v>
      </c>
      <c r="K8" s="1">
        <v>20</v>
      </c>
      <c r="L8" s="1">
        <v>20</v>
      </c>
      <c r="M8" s="26" t="s">
        <v>42</v>
      </c>
      <c r="N8" s="37" t="s">
        <v>51</v>
      </c>
      <c r="O8" s="37" t="s">
        <v>46</v>
      </c>
      <c r="P8" s="35" t="s">
        <v>48</v>
      </c>
    </row>
    <row r="9" spans="1:16" x14ac:dyDescent="0.35">
      <c r="A9">
        <f t="shared" si="0"/>
        <v>7</v>
      </c>
      <c r="B9" s="2"/>
      <c r="C9" s="1">
        <v>20</v>
      </c>
      <c r="D9" s="1">
        <v>20</v>
      </c>
      <c r="E9" s="1">
        <v>30</v>
      </c>
      <c r="F9" s="1">
        <v>30</v>
      </c>
      <c r="G9" s="1">
        <v>20</v>
      </c>
      <c r="H9" s="1">
        <v>20</v>
      </c>
      <c r="I9" s="1">
        <v>30</v>
      </c>
      <c r="J9" s="1">
        <v>30</v>
      </c>
      <c r="K9" s="1">
        <v>20</v>
      </c>
      <c r="L9" s="1">
        <v>20</v>
      </c>
      <c r="M9" s="26" t="s">
        <v>52</v>
      </c>
      <c r="N9" s="37" t="s">
        <v>51</v>
      </c>
      <c r="O9" s="37" t="s">
        <v>53</v>
      </c>
      <c r="P9" s="34" t="s">
        <v>54</v>
      </c>
    </row>
    <row r="10" spans="1:16" x14ac:dyDescent="0.35">
      <c r="A10">
        <f t="shared" si="0"/>
        <v>8</v>
      </c>
      <c r="B10" s="2"/>
      <c r="C10" s="1">
        <v>30</v>
      </c>
      <c r="D10" s="1">
        <v>30</v>
      </c>
      <c r="E10" s="1">
        <v>30</v>
      </c>
      <c r="F10" s="1">
        <v>20</v>
      </c>
      <c r="G10" s="1">
        <v>20</v>
      </c>
      <c r="H10" s="1">
        <v>20</v>
      </c>
      <c r="I10" s="1">
        <v>20</v>
      </c>
      <c r="J10" s="1">
        <v>20</v>
      </c>
      <c r="K10" s="1">
        <v>20</v>
      </c>
      <c r="L10" s="1">
        <v>20</v>
      </c>
      <c r="M10" s="26" t="s">
        <v>42</v>
      </c>
      <c r="N10" s="37" t="s">
        <v>51</v>
      </c>
      <c r="O10" s="37" t="s">
        <v>57</v>
      </c>
      <c r="P10" s="35" t="s">
        <v>48</v>
      </c>
    </row>
    <row r="11" spans="1:16" x14ac:dyDescent="0.35">
      <c r="A11">
        <f t="shared" si="0"/>
        <v>9</v>
      </c>
      <c r="B11" s="2"/>
      <c r="C11" s="1">
        <v>30</v>
      </c>
      <c r="D11" s="1">
        <v>30</v>
      </c>
      <c r="E11" s="1">
        <v>20</v>
      </c>
      <c r="F11" s="1">
        <v>20</v>
      </c>
      <c r="G11" s="1">
        <v>20</v>
      </c>
      <c r="H11" s="1">
        <v>20</v>
      </c>
      <c r="I11" s="1">
        <v>20</v>
      </c>
      <c r="J11" s="1">
        <v>20</v>
      </c>
      <c r="K11" s="1">
        <v>20</v>
      </c>
      <c r="L11" s="1">
        <v>20</v>
      </c>
      <c r="M11" s="26" t="s">
        <v>52</v>
      </c>
      <c r="N11" s="37" t="s">
        <v>51</v>
      </c>
      <c r="O11" s="37" t="s">
        <v>62</v>
      </c>
      <c r="P11" s="35" t="s">
        <v>48</v>
      </c>
    </row>
    <row r="12" spans="1:16" x14ac:dyDescent="0.35">
      <c r="A12">
        <f t="shared" si="0"/>
        <v>10</v>
      </c>
      <c r="C12" s="1">
        <v>30</v>
      </c>
      <c r="D12" s="1">
        <v>20</v>
      </c>
      <c r="E12" s="1">
        <v>20</v>
      </c>
      <c r="F12" s="1">
        <v>20</v>
      </c>
      <c r="G12" s="1">
        <v>20</v>
      </c>
      <c r="H12" s="1">
        <v>20</v>
      </c>
      <c r="I12" s="1">
        <v>20</v>
      </c>
      <c r="J12" s="1">
        <v>20</v>
      </c>
      <c r="K12" s="1">
        <v>20</v>
      </c>
      <c r="L12" s="1">
        <v>20</v>
      </c>
      <c r="M12" s="26" t="s">
        <v>52</v>
      </c>
      <c r="N12" s="37" t="s">
        <v>51</v>
      </c>
      <c r="O12" s="37" t="s">
        <v>62</v>
      </c>
      <c r="P12" s="35" t="s">
        <v>48</v>
      </c>
    </row>
    <row r="13" spans="1:16" x14ac:dyDescent="0.35">
      <c r="A13">
        <f t="shared" si="0"/>
        <v>11</v>
      </c>
      <c r="B13" s="2"/>
      <c r="C13" s="1">
        <v>30</v>
      </c>
      <c r="D13" s="1">
        <v>30</v>
      </c>
      <c r="E13" s="1">
        <v>30</v>
      </c>
      <c r="F13" s="1">
        <v>30</v>
      </c>
      <c r="G13" s="1">
        <v>30</v>
      </c>
      <c r="H13" s="1">
        <v>30</v>
      </c>
      <c r="I13" s="1">
        <v>30</v>
      </c>
      <c r="J13" s="1">
        <v>30</v>
      </c>
      <c r="K13" s="1">
        <v>30</v>
      </c>
      <c r="L13" s="1">
        <v>250</v>
      </c>
      <c r="M13" s="26" t="s">
        <v>58</v>
      </c>
      <c r="N13" s="37" t="s">
        <v>50</v>
      </c>
      <c r="O13" s="37" t="s">
        <v>59</v>
      </c>
      <c r="P13" s="35" t="s">
        <v>55</v>
      </c>
    </row>
    <row r="14" spans="1:16" x14ac:dyDescent="0.35">
      <c r="A14">
        <f t="shared" si="0"/>
        <v>12</v>
      </c>
      <c r="B14" s="2"/>
      <c r="C14" s="1">
        <v>30</v>
      </c>
      <c r="D14" s="1">
        <v>30</v>
      </c>
      <c r="E14" s="1">
        <v>30</v>
      </c>
      <c r="F14" s="1">
        <v>30</v>
      </c>
      <c r="G14" s="1">
        <v>250</v>
      </c>
      <c r="H14" s="1">
        <v>250</v>
      </c>
      <c r="I14" s="1">
        <v>250</v>
      </c>
      <c r="J14" s="1">
        <v>250</v>
      </c>
      <c r="K14" s="1">
        <v>250</v>
      </c>
      <c r="L14" s="1">
        <v>250</v>
      </c>
      <c r="M14" s="26" t="s">
        <v>58</v>
      </c>
      <c r="N14" s="37" t="s">
        <v>50</v>
      </c>
      <c r="O14" s="37" t="s">
        <v>59</v>
      </c>
      <c r="P14" s="35" t="s">
        <v>55</v>
      </c>
    </row>
    <row r="15" spans="1:16" x14ac:dyDescent="0.35">
      <c r="A15">
        <f t="shared" si="0"/>
        <v>13</v>
      </c>
      <c r="B15" s="2"/>
      <c r="C15" s="1">
        <v>30</v>
      </c>
      <c r="D15" s="1">
        <v>30</v>
      </c>
      <c r="E15" s="1">
        <v>30</v>
      </c>
      <c r="F15" s="1">
        <v>250</v>
      </c>
      <c r="G15" s="1">
        <v>250</v>
      </c>
      <c r="H15" s="1">
        <v>250</v>
      </c>
      <c r="I15" s="1">
        <v>250</v>
      </c>
      <c r="J15" s="1">
        <v>250</v>
      </c>
      <c r="K15" s="1">
        <v>250</v>
      </c>
      <c r="L15" s="1">
        <v>250</v>
      </c>
      <c r="M15" s="26" t="s">
        <v>58</v>
      </c>
      <c r="N15" s="37" t="s">
        <v>50</v>
      </c>
      <c r="O15" s="37" t="s">
        <v>59</v>
      </c>
      <c r="P15" s="35" t="s">
        <v>55</v>
      </c>
    </row>
    <row r="16" spans="1:16" x14ac:dyDescent="0.35">
      <c r="A16">
        <f t="shared" si="0"/>
        <v>14</v>
      </c>
      <c r="B16" s="2"/>
      <c r="C16" s="1">
        <v>30</v>
      </c>
      <c r="D16" s="1">
        <v>30</v>
      </c>
      <c r="E16" s="1">
        <v>250</v>
      </c>
      <c r="F16" s="1">
        <v>250</v>
      </c>
      <c r="G16" s="1">
        <v>250</v>
      </c>
      <c r="H16" s="1">
        <v>250</v>
      </c>
      <c r="I16" s="1">
        <v>250</v>
      </c>
      <c r="J16" s="1">
        <v>250</v>
      </c>
      <c r="K16" s="1">
        <v>250</v>
      </c>
      <c r="L16" s="1">
        <v>250</v>
      </c>
      <c r="M16" s="26" t="s">
        <v>58</v>
      </c>
      <c r="N16" s="37" t="s">
        <v>51</v>
      </c>
      <c r="O16" s="37" t="s">
        <v>59</v>
      </c>
      <c r="P16" s="35" t="s">
        <v>48</v>
      </c>
    </row>
    <row r="17" spans="1:16" x14ac:dyDescent="0.35">
      <c r="A17">
        <f t="shared" si="0"/>
        <v>15</v>
      </c>
      <c r="B17" s="2"/>
      <c r="C17" s="1">
        <v>30</v>
      </c>
      <c r="D17" s="1">
        <v>250</v>
      </c>
      <c r="E17" s="1">
        <v>250</v>
      </c>
      <c r="F17" s="1">
        <v>250</v>
      </c>
      <c r="G17" s="1">
        <v>250</v>
      </c>
      <c r="H17" s="1">
        <v>250</v>
      </c>
      <c r="I17" s="1">
        <v>250</v>
      </c>
      <c r="J17" s="1">
        <v>250</v>
      </c>
      <c r="K17" s="1">
        <v>250</v>
      </c>
      <c r="L17" s="1">
        <v>250</v>
      </c>
      <c r="M17" s="26" t="s">
        <v>58</v>
      </c>
      <c r="N17" s="37" t="s">
        <v>51</v>
      </c>
      <c r="O17" s="37" t="s">
        <v>59</v>
      </c>
      <c r="P17" s="35" t="s">
        <v>48</v>
      </c>
    </row>
    <row r="18" spans="1:16" x14ac:dyDescent="0.35">
      <c r="A18">
        <f t="shared" si="0"/>
        <v>16</v>
      </c>
      <c r="C18" s="1">
        <v>30</v>
      </c>
      <c r="D18" s="1">
        <v>30</v>
      </c>
      <c r="E18" s="1">
        <v>30</v>
      </c>
      <c r="F18" s="1">
        <v>30</v>
      </c>
      <c r="G18" s="1">
        <v>30</v>
      </c>
      <c r="H18" s="1">
        <v>30</v>
      </c>
      <c r="I18" s="1">
        <v>30</v>
      </c>
      <c r="J18" s="1">
        <v>30</v>
      </c>
      <c r="K18" s="1">
        <v>30</v>
      </c>
      <c r="L18" s="1">
        <v>244</v>
      </c>
      <c r="M18" s="27" t="s">
        <v>44</v>
      </c>
      <c r="N18" s="38" t="s">
        <v>51</v>
      </c>
      <c r="O18" s="38" t="s">
        <v>60</v>
      </c>
      <c r="P18" s="35" t="s">
        <v>48</v>
      </c>
    </row>
    <row r="19" spans="1:16" x14ac:dyDescent="0.35">
      <c r="A19">
        <f t="shared" si="0"/>
        <v>17</v>
      </c>
      <c r="C19" s="1">
        <v>30</v>
      </c>
      <c r="D19" s="1">
        <v>244</v>
      </c>
      <c r="E19" s="1">
        <v>244</v>
      </c>
      <c r="F19" s="1">
        <v>244</v>
      </c>
      <c r="G19" s="1">
        <v>244</v>
      </c>
      <c r="H19" s="1">
        <v>244</v>
      </c>
      <c r="I19" s="1">
        <v>244</v>
      </c>
      <c r="J19" s="1">
        <v>244</v>
      </c>
      <c r="K19" s="1">
        <v>244</v>
      </c>
      <c r="L19" s="1">
        <v>244</v>
      </c>
      <c r="M19" s="27" t="s">
        <v>61</v>
      </c>
      <c r="N19" s="38" t="s">
        <v>51</v>
      </c>
      <c r="O19" s="37" t="s">
        <v>62</v>
      </c>
      <c r="P19" s="35" t="s">
        <v>48</v>
      </c>
    </row>
    <row r="20" spans="1:16" x14ac:dyDescent="0.35">
      <c r="A20">
        <f t="shared" si="0"/>
        <v>18</v>
      </c>
      <c r="C20" s="1">
        <v>30</v>
      </c>
      <c r="D20" s="1">
        <v>30</v>
      </c>
      <c r="E20" s="1">
        <v>30</v>
      </c>
      <c r="F20" s="1">
        <v>244</v>
      </c>
      <c r="G20" s="1">
        <v>30</v>
      </c>
      <c r="H20" s="1">
        <v>30</v>
      </c>
      <c r="I20" s="1">
        <v>30</v>
      </c>
      <c r="J20" s="1">
        <v>30</v>
      </c>
      <c r="K20" s="1">
        <v>30</v>
      </c>
      <c r="L20" s="1">
        <v>30</v>
      </c>
      <c r="M20" s="27" t="s">
        <v>44</v>
      </c>
      <c r="N20" s="38" t="s">
        <v>50</v>
      </c>
      <c r="O20" s="38" t="s">
        <v>63</v>
      </c>
      <c r="P20" s="35" t="s">
        <v>55</v>
      </c>
    </row>
    <row r="21" spans="1:16" x14ac:dyDescent="0.35">
      <c r="A21">
        <f t="shared" si="0"/>
        <v>19</v>
      </c>
      <c r="C21" s="1">
        <v>30</v>
      </c>
      <c r="D21" s="1">
        <v>30</v>
      </c>
      <c r="E21" s="1">
        <v>30</v>
      </c>
      <c r="F21" s="1">
        <v>244</v>
      </c>
      <c r="G21" s="1">
        <v>244</v>
      </c>
      <c r="H21" s="1">
        <v>30</v>
      </c>
      <c r="I21" s="1">
        <v>30</v>
      </c>
      <c r="J21" s="1">
        <v>30</v>
      </c>
      <c r="K21" s="1">
        <v>30</v>
      </c>
      <c r="L21" s="1">
        <v>30</v>
      </c>
      <c r="M21" s="27" t="s">
        <v>44</v>
      </c>
      <c r="N21" s="38" t="s">
        <v>50</v>
      </c>
      <c r="O21" s="38" t="s">
        <v>64</v>
      </c>
      <c r="P21" s="35" t="s">
        <v>55</v>
      </c>
    </row>
    <row r="22" spans="1:16" x14ac:dyDescent="0.35">
      <c r="A22">
        <f t="shared" si="0"/>
        <v>20</v>
      </c>
      <c r="C22" s="1">
        <v>30</v>
      </c>
      <c r="D22" s="1">
        <v>30</v>
      </c>
      <c r="E22" s="1">
        <v>30</v>
      </c>
      <c r="F22" s="1">
        <v>244</v>
      </c>
      <c r="G22" s="1">
        <v>244</v>
      </c>
      <c r="H22" s="1">
        <v>244</v>
      </c>
      <c r="I22" s="1">
        <v>30</v>
      </c>
      <c r="J22" s="1">
        <v>30</v>
      </c>
      <c r="K22" s="1">
        <v>30</v>
      </c>
      <c r="L22" s="1">
        <v>30</v>
      </c>
      <c r="M22" s="27" t="s">
        <v>61</v>
      </c>
      <c r="N22" s="38" t="s">
        <v>51</v>
      </c>
      <c r="O22" s="38" t="s">
        <v>65</v>
      </c>
      <c r="P22" s="35" t="s">
        <v>66</v>
      </c>
    </row>
    <row r="23" spans="1:16" x14ac:dyDescent="0.35">
      <c r="A23">
        <f t="shared" si="0"/>
        <v>21</v>
      </c>
      <c r="C23" s="1">
        <v>244</v>
      </c>
      <c r="D23" s="1">
        <v>244</v>
      </c>
      <c r="E23" s="1">
        <v>30</v>
      </c>
      <c r="F23" s="1">
        <v>30</v>
      </c>
      <c r="G23" s="1">
        <v>244</v>
      </c>
      <c r="H23" s="1">
        <v>244</v>
      </c>
      <c r="I23" s="1">
        <v>30</v>
      </c>
      <c r="J23" s="1">
        <v>30</v>
      </c>
      <c r="K23" s="1">
        <v>244</v>
      </c>
      <c r="L23" s="1">
        <v>244</v>
      </c>
      <c r="M23" s="27" t="s">
        <v>61</v>
      </c>
      <c r="N23" s="38" t="s">
        <v>50</v>
      </c>
      <c r="O23" s="38" t="s">
        <v>67</v>
      </c>
      <c r="P23" s="35" t="s">
        <v>55</v>
      </c>
    </row>
    <row r="24" spans="1:16" x14ac:dyDescent="0.35">
      <c r="A24">
        <f t="shared" si="0"/>
        <v>22</v>
      </c>
      <c r="C24" s="1">
        <v>244</v>
      </c>
      <c r="D24" s="1">
        <v>244</v>
      </c>
      <c r="E24" s="1">
        <v>20</v>
      </c>
      <c r="F24" s="1">
        <v>20</v>
      </c>
      <c r="G24" s="1">
        <v>244</v>
      </c>
      <c r="H24" s="1">
        <v>244</v>
      </c>
      <c r="I24" s="1">
        <v>20</v>
      </c>
      <c r="J24" s="1">
        <v>20</v>
      </c>
      <c r="K24" s="1">
        <v>244</v>
      </c>
      <c r="L24" s="1">
        <v>244</v>
      </c>
      <c r="M24" s="27" t="s">
        <v>61</v>
      </c>
      <c r="N24" s="38" t="s">
        <v>50</v>
      </c>
      <c r="O24" s="38" t="s">
        <v>68</v>
      </c>
      <c r="P24" s="35" t="s">
        <v>55</v>
      </c>
    </row>
    <row r="25" spans="1:16" x14ac:dyDescent="0.35">
      <c r="A25">
        <f t="shared" si="0"/>
        <v>23</v>
      </c>
      <c r="C25" s="1">
        <v>244</v>
      </c>
      <c r="D25" s="1">
        <v>20</v>
      </c>
      <c r="E25" s="1">
        <v>30</v>
      </c>
      <c r="F25" s="1">
        <v>30</v>
      </c>
      <c r="G25" s="1">
        <v>244</v>
      </c>
      <c r="H25" s="1">
        <v>244</v>
      </c>
      <c r="I25" s="1">
        <v>20</v>
      </c>
      <c r="J25" s="1">
        <v>20</v>
      </c>
      <c r="K25" s="1">
        <v>30</v>
      </c>
      <c r="L25" s="1">
        <v>30</v>
      </c>
      <c r="M25" s="27" t="s">
        <v>61</v>
      </c>
      <c r="N25" s="38" t="s">
        <v>50</v>
      </c>
      <c r="O25" s="38" t="s">
        <v>69</v>
      </c>
      <c r="P25" s="35" t="s">
        <v>55</v>
      </c>
    </row>
    <row r="26" spans="1:16" x14ac:dyDescent="0.35">
      <c r="A26">
        <f t="shared" si="0"/>
        <v>24</v>
      </c>
    </row>
    <row r="27" spans="1:16" x14ac:dyDescent="0.35">
      <c r="A27">
        <f t="shared" si="0"/>
        <v>25</v>
      </c>
    </row>
    <row r="28" spans="1:16" x14ac:dyDescent="0.35">
      <c r="A28">
        <f t="shared" si="0"/>
        <v>26</v>
      </c>
    </row>
    <row r="29" spans="1:16" x14ac:dyDescent="0.35">
      <c r="A29">
        <f t="shared" si="0"/>
        <v>27</v>
      </c>
    </row>
    <row r="30" spans="1:16" x14ac:dyDescent="0.35">
      <c r="A30">
        <f t="shared" si="0"/>
        <v>28</v>
      </c>
    </row>
    <row r="31" spans="1:16" x14ac:dyDescent="0.35">
      <c r="A31">
        <f t="shared" si="0"/>
        <v>29</v>
      </c>
    </row>
    <row r="32" spans="1:16" x14ac:dyDescent="0.35">
      <c r="A32">
        <f t="shared" si="0"/>
        <v>30</v>
      </c>
      <c r="B32" s="3"/>
    </row>
    <row r="33" spans="1:1" x14ac:dyDescent="0.35">
      <c r="A33">
        <f t="shared" si="0"/>
        <v>31</v>
      </c>
    </row>
    <row r="34" spans="1:1" x14ac:dyDescent="0.35">
      <c r="A34">
        <f t="shared" si="0"/>
        <v>32</v>
      </c>
    </row>
    <row r="35" spans="1:1" x14ac:dyDescent="0.35">
      <c r="A35">
        <f t="shared" si="0"/>
        <v>33</v>
      </c>
    </row>
    <row r="36" spans="1:1" x14ac:dyDescent="0.35">
      <c r="A36">
        <f t="shared" si="0"/>
        <v>34</v>
      </c>
    </row>
    <row r="37" spans="1:1" x14ac:dyDescent="0.35">
      <c r="A37">
        <f t="shared" si="0"/>
        <v>35</v>
      </c>
    </row>
    <row r="38" spans="1:1" x14ac:dyDescent="0.35">
      <c r="A38">
        <f t="shared" si="0"/>
        <v>36</v>
      </c>
    </row>
  </sheetData>
  <conditionalFormatting sqref="C2:L27">
    <cfRule type="cellIs" dxfId="5" priority="6" operator="equal">
      <formula>20</formula>
    </cfRule>
  </conditionalFormatting>
  <conditionalFormatting sqref="K6">
    <cfRule type="cellIs" dxfId="4" priority="5" operator="between">
      <formula>27</formula>
      <formula>48</formula>
    </cfRule>
  </conditionalFormatting>
  <conditionalFormatting sqref="C1:L1048576">
    <cfRule type="cellIs" dxfId="3" priority="1" operator="equal">
      <formula>250</formula>
    </cfRule>
    <cfRule type="cellIs" dxfId="2" priority="2" operator="equal">
      <formula>244</formula>
    </cfRule>
    <cfRule type="cellIs" dxfId="1" priority="3" operator="equal">
      <formula>20</formula>
    </cfRule>
    <cfRule type="cellIs" dxfId="0" priority="4" operator="between">
      <formula>27</formula>
      <formula>48</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8FC96-1AA0-4D5A-9EAB-2281FD714450}">
  <dimension ref="A1:E16"/>
  <sheetViews>
    <sheetView workbookViewId="0">
      <selection activeCell="D17" sqref="D17"/>
    </sheetView>
  </sheetViews>
  <sheetFormatPr defaultRowHeight="14.5" x14ac:dyDescent="0.35"/>
  <cols>
    <col min="1" max="1" width="13" bestFit="1" customWidth="1"/>
    <col min="2" max="2" width="4.6328125" bestFit="1" customWidth="1"/>
    <col min="3" max="3" width="31.1796875" bestFit="1" customWidth="1"/>
    <col min="4" max="4" width="41.90625" bestFit="1" customWidth="1"/>
    <col min="5" max="5" width="12.26953125" bestFit="1" customWidth="1"/>
  </cols>
  <sheetData>
    <row r="1" spans="1:5" ht="17" customHeight="1" thickBot="1" x14ac:dyDescent="0.4">
      <c r="A1" s="32" t="s">
        <v>1</v>
      </c>
      <c r="B1" s="32" t="s">
        <v>2</v>
      </c>
      <c r="C1" s="32" t="s">
        <v>35</v>
      </c>
      <c r="D1" s="32" t="s">
        <v>36</v>
      </c>
      <c r="E1" s="32" t="s">
        <v>37</v>
      </c>
    </row>
    <row r="2" spans="1:5" ht="15" thickBot="1" x14ac:dyDescent="0.4">
      <c r="A2" s="18">
        <v>0</v>
      </c>
      <c r="B2" s="18">
        <v>4</v>
      </c>
      <c r="C2" s="18" t="s">
        <v>5</v>
      </c>
      <c r="D2" s="18" t="s">
        <v>6</v>
      </c>
      <c r="E2" s="25" t="s">
        <v>7</v>
      </c>
    </row>
    <row r="3" spans="1:5" ht="15" thickBot="1" x14ac:dyDescent="0.4">
      <c r="A3" s="24" t="s">
        <v>34</v>
      </c>
      <c r="B3" s="19">
        <v>24</v>
      </c>
      <c r="C3" s="4" t="s">
        <v>8</v>
      </c>
      <c r="D3" s="4" t="s">
        <v>9</v>
      </c>
      <c r="E3" s="5" t="s">
        <v>10</v>
      </c>
    </row>
    <row r="4" spans="1:5" ht="15" thickBot="1" x14ac:dyDescent="0.4">
      <c r="A4" s="19">
        <v>25</v>
      </c>
      <c r="B4" s="19">
        <v>26</v>
      </c>
      <c r="C4" s="4" t="s">
        <v>11</v>
      </c>
      <c r="D4" s="4" t="s">
        <v>9</v>
      </c>
      <c r="E4" s="5" t="s">
        <v>10</v>
      </c>
    </row>
    <row r="5" spans="1:5" ht="15" thickBot="1" x14ac:dyDescent="0.4">
      <c r="A5" s="20">
        <v>27</v>
      </c>
      <c r="B5" s="20">
        <v>48</v>
      </c>
      <c r="C5" s="6" t="s">
        <v>12</v>
      </c>
      <c r="D5" s="6" t="s">
        <v>13</v>
      </c>
      <c r="E5" s="7" t="s">
        <v>14</v>
      </c>
    </row>
    <row r="6" spans="1:5" ht="15" thickBot="1" x14ac:dyDescent="0.4">
      <c r="A6" s="18">
        <v>100</v>
      </c>
      <c r="B6" s="18">
        <v>104</v>
      </c>
      <c r="C6" s="8" t="s">
        <v>15</v>
      </c>
      <c r="D6" s="8" t="s">
        <v>6</v>
      </c>
      <c r="E6" s="9" t="s">
        <v>7</v>
      </c>
    </row>
    <row r="7" spans="1:5" ht="26.5" thickBot="1" x14ac:dyDescent="0.4">
      <c r="A7" s="19">
        <v>105</v>
      </c>
      <c r="B7" s="19">
        <v>124</v>
      </c>
      <c r="C7" s="4" t="s">
        <v>16</v>
      </c>
      <c r="D7" s="4" t="s">
        <v>17</v>
      </c>
      <c r="E7" s="5" t="s">
        <v>10</v>
      </c>
    </row>
    <row r="8" spans="1:5" ht="26.5" thickBot="1" x14ac:dyDescent="0.4">
      <c r="A8" s="19">
        <v>125</v>
      </c>
      <c r="B8" s="19">
        <v>126</v>
      </c>
      <c r="C8" s="4" t="s">
        <v>18</v>
      </c>
      <c r="D8" s="4" t="s">
        <v>17</v>
      </c>
      <c r="E8" s="5" t="s">
        <v>10</v>
      </c>
    </row>
    <row r="9" spans="1:5" ht="15" thickBot="1" x14ac:dyDescent="0.4">
      <c r="A9" s="20">
        <v>127</v>
      </c>
      <c r="B9" s="20">
        <v>148</v>
      </c>
      <c r="C9" s="6" t="s">
        <v>19</v>
      </c>
      <c r="D9" s="6" t="s">
        <v>13</v>
      </c>
      <c r="E9" s="7" t="s">
        <v>14</v>
      </c>
    </row>
    <row r="10" spans="1:5" ht="15" thickBot="1" x14ac:dyDescent="0.4">
      <c r="A10" s="21">
        <v>200</v>
      </c>
      <c r="B10" s="21">
        <v>204</v>
      </c>
      <c r="C10" s="10" t="s">
        <v>20</v>
      </c>
      <c r="D10" s="10" t="s">
        <v>3</v>
      </c>
      <c r="E10" s="11" t="s">
        <v>21</v>
      </c>
    </row>
    <row r="11" spans="1:5" ht="26.5" thickBot="1" x14ac:dyDescent="0.4">
      <c r="A11" s="18">
        <v>205</v>
      </c>
      <c r="B11" s="18">
        <v>207</v>
      </c>
      <c r="C11" s="8" t="s">
        <v>22</v>
      </c>
      <c r="D11" s="8" t="s">
        <v>3</v>
      </c>
      <c r="E11" s="9" t="s">
        <v>7</v>
      </c>
    </row>
    <row r="12" spans="1:5" ht="15" thickBot="1" x14ac:dyDescent="0.4">
      <c r="A12" s="18">
        <v>241</v>
      </c>
      <c r="B12" s="18">
        <v>241</v>
      </c>
      <c r="C12" s="8" t="s">
        <v>23</v>
      </c>
      <c r="D12" s="8" t="s">
        <v>24</v>
      </c>
      <c r="E12" s="9" t="s">
        <v>7</v>
      </c>
    </row>
    <row r="13" spans="1:5" ht="15" thickBot="1" x14ac:dyDescent="0.4">
      <c r="A13" s="22">
        <v>244</v>
      </c>
      <c r="B13" s="22">
        <v>244</v>
      </c>
      <c r="C13" s="12" t="s">
        <v>4</v>
      </c>
      <c r="D13" s="12" t="s">
        <v>4</v>
      </c>
      <c r="E13" s="13" t="s">
        <v>25</v>
      </c>
    </row>
    <row r="14" spans="1:5" ht="15" thickBot="1" x14ac:dyDescent="0.4">
      <c r="A14" s="23">
        <v>250</v>
      </c>
      <c r="B14" s="23">
        <v>250</v>
      </c>
      <c r="C14" s="14" t="s">
        <v>26</v>
      </c>
      <c r="D14" s="14" t="s">
        <v>27</v>
      </c>
      <c r="E14" s="15" t="s">
        <v>28</v>
      </c>
    </row>
    <row r="15" spans="1:5" ht="15" thickBot="1" x14ac:dyDescent="0.4">
      <c r="A15" s="18">
        <v>254</v>
      </c>
      <c r="B15" s="18">
        <v>254</v>
      </c>
      <c r="C15" s="8" t="s">
        <v>29</v>
      </c>
      <c r="D15" s="8" t="s">
        <v>30</v>
      </c>
      <c r="E15" s="16" t="s">
        <v>7</v>
      </c>
    </row>
    <row r="16" spans="1:5" ht="26.5" thickBot="1" x14ac:dyDescent="0.4">
      <c r="A16" s="17" t="s">
        <v>31</v>
      </c>
      <c r="B16" s="17"/>
      <c r="C16" s="17" t="s">
        <v>32</v>
      </c>
      <c r="D16" s="17" t="s">
        <v>30</v>
      </c>
      <c r="E16" s="17" t="s">
        <v>33</v>
      </c>
    </row>
  </sheetData>
  <sortState xmlns:xlrd2="http://schemas.microsoft.com/office/spreadsheetml/2017/richdata2" ref="A2:B12">
    <sortCondition ref="B1:B1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scenarios</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Gibbs</dc:creator>
  <cp:lastModifiedBy>David Gibbs</cp:lastModifiedBy>
  <dcterms:created xsi:type="dcterms:W3CDTF">2015-06-05T18:17:20Z</dcterms:created>
  <dcterms:modified xsi:type="dcterms:W3CDTF">2025-10-23T13:19:56Z</dcterms:modified>
</cp:coreProperties>
</file>